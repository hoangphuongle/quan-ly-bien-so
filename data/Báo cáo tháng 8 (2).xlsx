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5"/>
    <sheet state="visible" name="02" sheetId="2" r:id="rId6"/>
    <sheet state="visible" name="03" sheetId="3" r:id="rId7"/>
    <sheet state="visible" name="04" sheetId="4" r:id="rId8"/>
    <sheet state="visible" name="05" sheetId="5" r:id="rId9"/>
    <sheet state="visible" name="06" sheetId="6" r:id="rId10"/>
    <sheet state="visible" name="07" sheetId="7" r:id="rId11"/>
    <sheet state="visible" name="08" sheetId="8" r:id="rId12"/>
  </sheets>
  <definedNames/>
  <calcPr/>
</workbook>
</file>

<file path=xl/sharedStrings.xml><?xml version="1.0" encoding="utf-8"?>
<sst xmlns="http://schemas.openxmlformats.org/spreadsheetml/2006/main" count="601" uniqueCount="123">
  <si>
    <t xml:space="preserve">Ngày 03/08/2026 VINFAST TÂN HƯNG                                                                
THU BÁN XE                                                                </t>
  </si>
  <si>
    <t xml:space="preserve">Ngày 01/08/2026 VINFAST TÂN HƯNG                                                                
THU BÁN XE                                                                </t>
  </si>
  <si>
    <t xml:space="preserve">Ngày 02/08/2026 VINFAST TÂN HƯNG                                                                
THU BÁN XE                                                                </t>
  </si>
  <si>
    <t xml:space="preserve">Ngày 04/08/2026 VINFAST TÂN HƯNG                                                                
THU BÁN XE                                                                </t>
  </si>
  <si>
    <t>THU BÁN XE</t>
  </si>
  <si>
    <t>STT</t>
  </si>
  <si>
    <t>HỌ VÀ TÊN</t>
  </si>
  <si>
    <t xml:space="preserve">LOẠI XE </t>
  </si>
  <si>
    <t>POS</t>
  </si>
  <si>
    <t xml:space="preserve"> GÓP </t>
  </si>
  <si>
    <t xml:space="preserve"> TIỀN MẶT </t>
  </si>
  <si>
    <t xml:space="preserve"> CHUYỂN KHOẢN </t>
  </si>
  <si>
    <t>CKCN</t>
  </si>
  <si>
    <t xml:space="preserve"> NV BÁN </t>
  </si>
  <si>
    <t>GHI CHÚ</t>
  </si>
  <si>
    <t>NGUYỄN THÙY DƯƠNG</t>
  </si>
  <si>
    <t>NGUYỄN THỊ HẢO</t>
  </si>
  <si>
    <t xml:space="preserve">EVO GRAND LITE </t>
  </si>
  <si>
    <t>TRỊNH THỊ KIM CÚC</t>
  </si>
  <si>
    <t>vero x</t>
  </si>
  <si>
    <t>LÊ QUANG THIÊN</t>
  </si>
  <si>
    <t xml:space="preserve">LÊ THỊ LỘC </t>
  </si>
  <si>
    <t xml:space="preserve">EVO LITE </t>
  </si>
  <si>
    <t>TRẦN CAO TRÍ</t>
  </si>
  <si>
    <t>NGUYỄN NGỌC VÂN THÙY</t>
  </si>
  <si>
    <t>FELIZ 2025</t>
  </si>
  <si>
    <t xml:space="preserve"> EVO GRAND LITE </t>
  </si>
  <si>
    <t>NGUYỄN THỊ BÊ LÊ</t>
  </si>
  <si>
    <t xml:space="preserve"> EVO GRAND</t>
  </si>
  <si>
    <t>THU BIỂN SỐ</t>
  </si>
  <si>
    <t>CHUYỂN KHOẢN</t>
  </si>
  <si>
    <t xml:space="preserve"> NGƯỜI GIAO BIỂN SỐ </t>
  </si>
  <si>
    <t xml:space="preserve"> NGƯỜI GIỮ BSỐ </t>
  </si>
  <si>
    <t xml:space="preserve"> GHI CHÚ </t>
  </si>
  <si>
    <t>TÔ QUỐC NGUYÊN</t>
  </si>
  <si>
    <t>Evo Grand Lite</t>
  </si>
  <si>
    <t xml:space="preserve">CHI THUẾ + ĐĂNG KÝ BIỂN SỐ </t>
  </si>
  <si>
    <t>THUẾ</t>
  </si>
  <si>
    <t>PHÍ BIỂN SỐ</t>
  </si>
  <si>
    <t>PHÍ CÔNG AN</t>
  </si>
  <si>
    <t xml:space="preserve"> NGƯỜI NHÂN </t>
  </si>
  <si>
    <t>NGUYỄN VĂN THIỆN</t>
  </si>
  <si>
    <t>THU  KHOẢN KHÁC</t>
  </si>
  <si>
    <t>NỘI DUNG</t>
  </si>
  <si>
    <t>Feliz 2025</t>
  </si>
  <si>
    <t xml:space="preserve"> SỐ TIỀN  </t>
  </si>
  <si>
    <t>NGƯỜI THU</t>
  </si>
  <si>
    <t xml:space="preserve"> CHT/KTT </t>
  </si>
  <si>
    <t>Thu quỹ giữ tiền mặt tại cửa hàng ngày 01/08/2026</t>
  </si>
  <si>
    <t>Thu quỹ giữ tiền mặt tại cửa hàng ngày 02/08/2026</t>
  </si>
  <si>
    <t>CHI PHÍ</t>
  </si>
  <si>
    <t>SỐ TIỀN CHI</t>
  </si>
  <si>
    <t xml:space="preserve"> NGƯỜI CHI TIỀN </t>
  </si>
  <si>
    <t>NGƯỜI NHÂN TIỀN</t>
  </si>
  <si>
    <t>Chi quỹ giữ tiền mặt tại cửa hàng ngày 02/08/2026</t>
  </si>
  <si>
    <t>Thu quỹ giữ tiền mặt tại cửa hàng ngày 03/08/2026</t>
  </si>
  <si>
    <t>Chi quỹ giữ tiền mặt tại cửa hàng ngày 03/08/2026</t>
  </si>
  <si>
    <t>Thu quỹ giữ tiền mặt tại cửa hàng ngày 31/07/2026</t>
  </si>
  <si>
    <t xml:space="preserve">   </t>
  </si>
  <si>
    <t>TM</t>
  </si>
  <si>
    <t xml:space="preserve">CK </t>
  </si>
  <si>
    <t xml:space="preserve">Bán Xe </t>
  </si>
  <si>
    <t xml:space="preserve"> DV NỘP VỀ </t>
  </si>
  <si>
    <t xml:space="preserve">Biển Số </t>
  </si>
  <si>
    <t>Chi quỹ giữ tiền mặt tại cửa hàng ngày 01/08/2026</t>
  </si>
  <si>
    <t xml:space="preserve"> BH NỘP VỀ  </t>
  </si>
  <si>
    <t>Chi quỹ giữ tiền mặt tại cửa hàng ngày 04/08/2026</t>
  </si>
  <si>
    <t>ĐÓNG TIỀN NƯỚC THÁNG 7</t>
  </si>
  <si>
    <t xml:space="preserve">Dịch Vụ </t>
  </si>
  <si>
    <t>Thu khác</t>
  </si>
  <si>
    <t>Hoàn tiền cho khách Lưu Hoàng Đoan Thư</t>
  </si>
  <si>
    <t xml:space="preserve"> CỬA HÀNG TRƯỞNG </t>
  </si>
  <si>
    <t>Chi Phí</t>
  </si>
  <si>
    <t xml:space="preserve"> </t>
  </si>
  <si>
    <t>TỔNG NỘP VỀ</t>
  </si>
  <si>
    <t>Huỳnh Trọng Nhân</t>
  </si>
  <si>
    <t xml:space="preserve">Ngày 05/08/2026 VINFAST TÂN HƯNG                                                                
THU BÁN XE                                                                </t>
  </si>
  <si>
    <t>Thu quỹ giữ tiền mặt tại cửa hàng ngày 04/08/2026</t>
  </si>
  <si>
    <t>Chi quỹ giữ tiền mặt tại cửa hàng ngày 05/08/2026</t>
  </si>
  <si>
    <t xml:space="preserve">Ngày 07/08/2026 VINFAST TÂN HƯNG                                                                
THU BÁN XE                                                                </t>
  </si>
  <si>
    <t>HOÀNG KHÁNH TRÂM</t>
  </si>
  <si>
    <t xml:space="preserve">EVO GRAND </t>
  </si>
  <si>
    <t>NGUYỄN QUỐC HOÀNG</t>
  </si>
  <si>
    <t>Flazz</t>
  </si>
  <si>
    <t>NGUYỄN THỊ SÔNG HƯƠNG</t>
  </si>
  <si>
    <t>VÕ THÀNH NHÂN</t>
  </si>
  <si>
    <t>Feliz 2</t>
  </si>
  <si>
    <t>TRẦN ĐẠI HƯNG</t>
  </si>
  <si>
    <t>EVO LITE</t>
  </si>
  <si>
    <t>TỐNG VĂN SONG</t>
  </si>
  <si>
    <t>EVO GRAND</t>
  </si>
  <si>
    <t>ĐẶNG NGỌC THANH TRÀ</t>
  </si>
  <si>
    <t>Thu quỹ giữ tiền mặt tại cửa hàng ngày 05/08/2026</t>
  </si>
  <si>
    <t xml:space="preserve">Ngày 08/08/2026 VINFAST TÂN HƯNG                                                                
THU BÁN XE                                                                </t>
  </si>
  <si>
    <t>ĐỖ CÔNG VƯỢNG</t>
  </si>
  <si>
    <t>EVO GRAND LITE</t>
  </si>
  <si>
    <t>ĐỖ THANH NHƠN</t>
  </si>
  <si>
    <t>Chi quỹ giữ tiền mặt tại cửa hàng ngày 06/08/2026</t>
  </si>
  <si>
    <t>FELIZ 2</t>
  </si>
  <si>
    <t>LÊ PHẠM HUỲNH BÁ KHUÊ</t>
  </si>
  <si>
    <t xml:space="preserve">MIẾNG VÁ XE </t>
  </si>
  <si>
    <t>KEO VÁ</t>
  </si>
  <si>
    <t>Thu quỹ giữ tiền mặt tại cửa hàng ngày 06/08/2026</t>
  </si>
  <si>
    <t xml:space="preserve">BÚT XÓA </t>
  </si>
  <si>
    <t>THU PHÍ CÀ THẺ TRẦN ĐẠI HƯNG (2 CHIẾC EVO LITE)</t>
  </si>
  <si>
    <t>TIỀN ỨNG</t>
  </si>
  <si>
    <t>ổ điện</t>
  </si>
  <si>
    <t>THU PHÍ CÀ THẺ VÕ THÀNH NHÂN</t>
  </si>
  <si>
    <t>nước</t>
  </si>
  <si>
    <t>Chi quỹ giữ tiền mặt tại cửa hàng ngày 07/08/2026</t>
  </si>
  <si>
    <t>PHƯƠNG</t>
  </si>
  <si>
    <t>Thu quỹ giữ tiền mặt tại cửa hàng ngày 07/08/2026</t>
  </si>
  <si>
    <t>QUỸ</t>
  </si>
  <si>
    <t>thu phí cà thẻ ĐỖ THANH NHƠN</t>
  </si>
  <si>
    <t>TIỀN CÒN LẠI</t>
  </si>
  <si>
    <t>Tổng tiền nộp</t>
  </si>
  <si>
    <t>Chi quỹ giữ tiền mặt tại cửa hàng ngày 08/08/2026</t>
  </si>
  <si>
    <t>TMBH</t>
  </si>
  <si>
    <t>THÁO TIM VAN XE</t>
  </si>
  <si>
    <t>CHI TIỀN MUA LY</t>
  </si>
  <si>
    <t>CHI TIỀN MUA BAO RÁC</t>
  </si>
  <si>
    <t>CHI MUA BÌ TÀI LIỆU</t>
  </si>
  <si>
    <t>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</si>
</sst>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;[Red]0.00"/>
    <numFmt numFmtId="165" formatCode="_(* #,##0_);_(* \(#,##0\);_(* &quot;-&quot;??_);_(@_)"/>
    <numFmt numFmtId="166" formatCode="_ * #,##0_ ;_ * \-#,##0_ ;_ * &quot;-&quot;??_ ;_ @_ "/>
    <numFmt numFmtId="167" formatCode="#,##0\ [$đ-42A]"/>
    <numFmt numFmtId="168" formatCode="&quot;ngày &quot;d-m"/>
  </numFmts>
  <fonts count="18">
    <font>
      <sz val="10.0"/>
      <color rgb="FF000000"/>
      <name val="Arial"/>
      <scheme val="minor"/>
    </font>
    <font>
      <b/>
      <sz val="20.0"/>
      <color theme="1"/>
      <name val="Times New Roman"/>
    </font>
    <font/>
    <font>
      <color theme="1"/>
      <name val="Arial"/>
    </font>
    <font>
      <b/>
      <sz val="11.0"/>
      <color theme="1"/>
      <name val="Times New Roman"/>
    </font>
    <font>
      <b/>
      <color theme="1"/>
      <name val="Times New Roman"/>
    </font>
    <font>
      <b/>
      <sz val="12.0"/>
      <color theme="1"/>
      <name val="Times New Roman"/>
    </font>
    <font>
      <color theme="1"/>
      <name val="Arial"/>
      <scheme val="minor"/>
    </font>
    <font>
      <b/>
      <sz val="11.0"/>
      <color theme="1"/>
      <name val="Calibri"/>
    </font>
    <font>
      <sz val="12.0"/>
      <color theme="1"/>
      <name val="Times New Roman"/>
    </font>
    <font>
      <b/>
      <color theme="1"/>
      <name val="Arial"/>
    </font>
    <font>
      <b/>
      <sz val="12.0"/>
      <color rgb="FFFF0000"/>
      <name val="Times New Roman"/>
    </font>
    <font>
      <b/>
      <color theme="1"/>
      <name val="Arial"/>
      <scheme val="minor"/>
    </font>
    <font>
      <b/>
      <color rgb="FFFF0000"/>
      <name val="Arial"/>
      <scheme val="minor"/>
    </font>
    <font>
      <b/>
      <sz val="11.0"/>
      <color rgb="FFFF0000"/>
      <name val="Calibri"/>
    </font>
    <font>
      <b/>
      <color rgb="FFFF0000"/>
      <name val="Arial"/>
    </font>
    <font>
      <color rgb="FFFF0000"/>
      <name val="Arial"/>
    </font>
    <font>
      <b/>
      <color rgb="FFFF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3" fillId="0" fontId="2" numFmtId="0" xfId="0" applyBorder="1" applyFont="1"/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shrinkToFit="0" vertical="bottom" wrapText="1"/>
    </xf>
    <xf borderId="5" fillId="3" fontId="4" numFmtId="0" xfId="0" applyAlignment="1" applyBorder="1" applyFont="1">
      <alignment horizontal="center" vertical="bottom"/>
    </xf>
    <xf borderId="5" fillId="3" fontId="4" numFmtId="164" xfId="0" applyAlignment="1" applyBorder="1" applyFont="1" applyNumberFormat="1">
      <alignment horizontal="center" vertical="bottom"/>
    </xf>
    <xf borderId="5" fillId="3" fontId="4" numFmtId="165" xfId="0" applyAlignment="1" applyBorder="1" applyFont="1" applyNumberFormat="1">
      <alignment horizontal="center" shrinkToFit="0" vertical="bottom" wrapText="1"/>
    </xf>
    <xf borderId="0" fillId="4" fontId="5" numFmtId="0" xfId="0" applyAlignment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6" fillId="5" fontId="6" numFmtId="0" xfId="0" applyAlignment="1" applyBorder="1" applyFont="1">
      <alignment readingOrder="0" vertical="bottom"/>
    </xf>
    <xf borderId="5" fillId="5" fontId="6" numFmtId="0" xfId="0" applyAlignment="1" applyBorder="1" applyFont="1">
      <alignment horizontal="center" readingOrder="0" vertical="bottom"/>
    </xf>
    <xf borderId="0" fillId="0" fontId="3" numFmtId="166" xfId="0" applyAlignment="1" applyFont="1" applyNumberFormat="1">
      <alignment vertical="bottom"/>
    </xf>
    <xf borderId="5" fillId="5" fontId="3" numFmtId="165" xfId="0" applyAlignment="1" applyBorder="1" applyFont="1" applyNumberFormat="1">
      <alignment horizontal="right" vertical="bottom"/>
    </xf>
    <xf borderId="0" fillId="0" fontId="7" numFmtId="3" xfId="0" applyAlignment="1" applyFont="1" applyNumberFormat="1">
      <alignment readingOrder="0"/>
    </xf>
    <xf borderId="1" fillId="5" fontId="8" numFmtId="165" xfId="0" applyAlignment="1" applyBorder="1" applyFont="1" applyNumberFormat="1">
      <alignment horizontal="center" readingOrder="0" vertical="bottom"/>
    </xf>
    <xf borderId="5" fillId="5" fontId="3" numFmtId="165" xfId="0" applyAlignment="1" applyBorder="1" applyFont="1" applyNumberFormat="1">
      <alignment vertical="bottom"/>
    </xf>
    <xf borderId="5" fillId="5" fontId="3" numFmtId="165" xfId="0" applyAlignment="1" applyBorder="1" applyFont="1" applyNumberFormat="1">
      <alignment readingOrder="0" vertical="bottom"/>
    </xf>
    <xf borderId="6" fillId="5" fontId="3" numFmtId="165" xfId="0" applyAlignment="1" applyBorder="1" applyFont="1" applyNumberFormat="1">
      <alignment vertical="bottom"/>
    </xf>
    <xf borderId="1" fillId="5" fontId="3" numFmtId="165" xfId="0" applyAlignment="1" applyBorder="1" applyFont="1" applyNumberFormat="1">
      <alignment vertical="bottom"/>
    </xf>
    <xf borderId="1" fillId="5" fontId="3" numFmtId="165" xfId="0" applyAlignment="1" applyBorder="1" applyFont="1" applyNumberFormat="1">
      <alignment readingOrder="0" vertical="bottom"/>
    </xf>
    <xf borderId="5" fillId="5" fontId="3" numFmtId="165" xfId="0" applyAlignment="1" applyBorder="1" applyFont="1" applyNumberFormat="1">
      <alignment horizontal="right" readingOrder="0" vertical="bottom"/>
    </xf>
    <xf borderId="5" fillId="0" fontId="3" numFmtId="166" xfId="0" applyAlignment="1" applyBorder="1" applyFont="1" applyNumberFormat="1">
      <alignment vertical="bottom"/>
    </xf>
    <xf borderId="6" fillId="5" fontId="9" numFmtId="0" xfId="0" applyAlignment="1" applyBorder="1" applyFont="1">
      <alignment readingOrder="0" vertical="bottom"/>
    </xf>
    <xf borderId="6" fillId="3" fontId="3" numFmtId="0" xfId="0" applyAlignment="1" applyBorder="1" applyFont="1">
      <alignment vertical="bottom"/>
    </xf>
    <xf borderId="5" fillId="5" fontId="9" numFmtId="0" xfId="0" applyAlignment="1" applyBorder="1" applyFont="1">
      <alignment readingOrder="0" vertical="bottom"/>
    </xf>
    <xf borderId="5" fillId="3" fontId="3" numFmtId="165" xfId="0" applyAlignment="1" applyBorder="1" applyFont="1" applyNumberFormat="1">
      <alignment vertical="bottom"/>
    </xf>
    <xf borderId="5" fillId="3" fontId="3" numFmtId="0" xfId="0" applyAlignment="1" applyBorder="1" applyFont="1">
      <alignment vertical="bottom"/>
    </xf>
    <xf borderId="5" fillId="3" fontId="6" numFmtId="165" xfId="0" applyAlignment="1" applyBorder="1" applyFont="1" applyNumberFormat="1">
      <alignment horizontal="center" vertical="bottom"/>
    </xf>
    <xf borderId="5" fillId="3" fontId="4" numFmtId="164" xfId="0" applyAlignment="1" applyBorder="1" applyFont="1" applyNumberFormat="1">
      <alignment horizontal="center" shrinkToFit="0" vertical="bottom" wrapText="1"/>
    </xf>
    <xf borderId="6" fillId="3" fontId="4" numFmtId="165" xfId="0" applyAlignment="1" applyBorder="1" applyFont="1" applyNumberFormat="1">
      <alignment horizontal="center" shrinkToFit="0" vertical="bottom" wrapText="1"/>
    </xf>
    <xf borderId="5" fillId="0" fontId="10" numFmtId="0" xfId="0" applyAlignment="1" applyBorder="1" applyFont="1">
      <alignment horizontal="center" vertical="bottom"/>
    </xf>
    <xf borderId="6" fillId="5" fontId="3" numFmtId="0" xfId="0" applyAlignment="1" applyBorder="1" applyFont="1">
      <alignment readingOrder="0" vertical="bottom"/>
    </xf>
    <xf borderId="5" fillId="5" fontId="3" numFmtId="0" xfId="0" applyAlignment="1" applyBorder="1" applyFont="1">
      <alignment readingOrder="0" vertical="bottom"/>
    </xf>
    <xf borderId="4" fillId="5" fontId="3" numFmtId="166" xfId="0" applyAlignment="1" applyBorder="1" applyFont="1" applyNumberFormat="1">
      <alignment readingOrder="0" vertical="bottom"/>
    </xf>
    <xf borderId="7" fillId="5" fontId="3" numFmtId="165" xfId="0" applyAlignment="1" applyBorder="1" applyFont="1" applyNumberFormat="1">
      <alignment readingOrder="0" vertical="bottom"/>
    </xf>
    <xf borderId="8" fillId="5" fontId="3" numFmtId="165" xfId="0" applyAlignment="1" applyBorder="1" applyFont="1" applyNumberFormat="1">
      <alignment vertical="bottom"/>
    </xf>
    <xf borderId="9" fillId="5" fontId="3" numFmtId="165" xfId="0" applyAlignment="1" applyBorder="1" applyFont="1" applyNumberFormat="1">
      <alignment vertical="bottom"/>
    </xf>
    <xf borderId="0" fillId="0" fontId="3" numFmtId="14" xfId="0" applyAlignment="1" applyFont="1" applyNumberFormat="1">
      <alignment vertical="bottom"/>
    </xf>
    <xf borderId="5" fillId="0" fontId="3" numFmtId="0" xfId="0" applyAlignment="1" applyBorder="1" applyFont="1">
      <alignment vertical="bottom"/>
    </xf>
    <xf borderId="6" fillId="5" fontId="3" numFmtId="0" xfId="0" applyAlignment="1" applyBorder="1" applyFont="1">
      <alignment vertical="bottom"/>
    </xf>
    <xf borderId="5" fillId="5" fontId="3" numFmtId="0" xfId="0" applyAlignment="1" applyBorder="1" applyFont="1">
      <alignment vertical="bottom"/>
    </xf>
    <xf borderId="5" fillId="5" fontId="3" numFmtId="166" xfId="0" applyAlignment="1" applyBorder="1" applyFont="1" applyNumberFormat="1">
      <alignment vertical="bottom"/>
    </xf>
    <xf borderId="0" fillId="0" fontId="3" numFmtId="3" xfId="0" applyAlignment="1" applyFont="1" applyNumberFormat="1">
      <alignment vertical="bottom"/>
    </xf>
    <xf borderId="10" fillId="3" fontId="3" numFmtId="0" xfId="0" applyAlignment="1" applyBorder="1" applyFont="1">
      <alignment vertical="bottom"/>
    </xf>
    <xf borderId="6" fillId="3" fontId="3" numFmtId="165" xfId="0" applyAlignment="1" applyBorder="1" applyFont="1" applyNumberFormat="1">
      <alignment vertical="bottom"/>
    </xf>
    <xf borderId="5" fillId="3" fontId="4" numFmtId="165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1" fillId="2" fontId="4" numFmtId="14" xfId="0" applyAlignment="1" applyBorder="1" applyFont="1" applyNumberFormat="1">
      <alignment horizontal="center" vertical="bottom"/>
    </xf>
    <xf borderId="4" fillId="5" fontId="3" numFmtId="166" xfId="0" applyAlignment="1" applyBorder="1" applyFont="1" applyNumberFormat="1">
      <alignment vertical="bottom"/>
    </xf>
    <xf borderId="6" fillId="5" fontId="3" numFmtId="3" xfId="0" applyAlignment="1" applyBorder="1" applyFont="1" applyNumberFormat="1">
      <alignment readingOrder="0" vertical="bottom"/>
    </xf>
    <xf borderId="6" fillId="5" fontId="10" numFmtId="0" xfId="0" applyAlignment="1" applyBorder="1" applyFont="1">
      <alignment horizontal="center" readingOrder="0" vertical="bottom"/>
    </xf>
    <xf borderId="11" fillId="5" fontId="4" numFmtId="0" xfId="0" applyAlignment="1" applyBorder="1" applyFont="1">
      <alignment horizontal="center" vertical="bottom"/>
    </xf>
    <xf borderId="1" fillId="5" fontId="3" numFmtId="166" xfId="0" applyAlignment="1" applyBorder="1" applyFont="1" applyNumberFormat="1">
      <alignment vertical="bottom"/>
    </xf>
    <xf borderId="5" fillId="5" fontId="4" numFmtId="0" xfId="0" applyAlignment="1" applyBorder="1" applyFont="1">
      <alignment horizontal="center" vertical="bottom"/>
    </xf>
    <xf borderId="6" fillId="5" fontId="3" numFmtId="3" xfId="0" applyAlignment="1" applyBorder="1" applyFont="1" applyNumberFormat="1">
      <alignment vertical="bottom"/>
    </xf>
    <xf borderId="9" fillId="3" fontId="3" numFmtId="0" xfId="0" applyAlignment="1" applyBorder="1" applyFont="1">
      <alignment vertical="bottom"/>
    </xf>
    <xf borderId="6" fillId="3" fontId="6" numFmtId="165" xfId="0" applyAlignment="1" applyBorder="1" applyFont="1" applyNumberFormat="1">
      <alignment horizontal="center" vertical="bottom"/>
    </xf>
    <xf borderId="12" fillId="3" fontId="6" numFmtId="165" xfId="0" applyAlignment="1" applyBorder="1" applyFont="1" applyNumberFormat="1">
      <alignment horizontal="center" vertical="bottom"/>
    </xf>
    <xf borderId="13" fillId="3" fontId="3" numFmtId="165" xfId="0" applyAlignment="1" applyBorder="1" applyFont="1" applyNumberFormat="1">
      <alignment vertical="bottom"/>
    </xf>
    <xf borderId="9" fillId="3" fontId="3" numFmtId="165" xfId="0" applyAlignment="1" applyBorder="1" applyFont="1" applyNumberFormat="1">
      <alignment vertical="bottom"/>
    </xf>
    <xf borderId="10" fillId="3" fontId="4" numFmtId="0" xfId="0" applyAlignment="1" applyBorder="1" applyFont="1">
      <alignment horizontal="center" shrinkToFit="0" vertical="bottom" wrapText="1"/>
    </xf>
    <xf borderId="14" fillId="3" fontId="3" numFmtId="0" xfId="0" applyAlignment="1" applyBorder="1" applyFont="1">
      <alignment vertical="bottom"/>
    </xf>
    <xf borderId="15" fillId="3" fontId="3" numFmtId="0" xfId="0" applyAlignment="1" applyBorder="1" applyFont="1">
      <alignment vertical="bottom"/>
    </xf>
    <xf borderId="4" fillId="3" fontId="4" numFmtId="165" xfId="0" applyAlignment="1" applyBorder="1" applyFont="1" applyNumberFormat="1">
      <alignment horizontal="center" shrinkToFit="0" vertical="bottom" wrapText="1"/>
    </xf>
    <xf borderId="4" fillId="3" fontId="4" numFmtId="14" xfId="0" applyAlignment="1" applyBorder="1" applyFont="1" applyNumberFormat="1">
      <alignment horizontal="center" vertical="bottom"/>
    </xf>
    <xf borderId="4" fillId="3" fontId="3" numFmtId="165" xfId="0" applyAlignment="1" applyBorder="1" applyFont="1" applyNumberFormat="1">
      <alignment vertical="bottom"/>
    </xf>
    <xf borderId="4" fillId="3" fontId="4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1" fillId="5" fontId="6" numFmtId="0" xfId="0" applyAlignment="1" applyBorder="1" applyFont="1">
      <alignment horizontal="center" readingOrder="0" vertical="bottom"/>
    </xf>
    <xf borderId="8" fillId="0" fontId="2" numFmtId="0" xfId="0" applyBorder="1" applyFont="1"/>
    <xf borderId="5" fillId="0" fontId="6" numFmtId="166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166" xfId="0" applyAlignment="1" applyBorder="1" applyFont="1" applyNumberFormat="1">
      <alignment vertical="bottom"/>
    </xf>
    <xf borderId="2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12" fillId="3" fontId="3" numFmtId="0" xfId="0" applyAlignment="1" applyBorder="1" applyFont="1">
      <alignment vertical="bottom"/>
    </xf>
    <xf borderId="12" fillId="3" fontId="3" numFmtId="165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6" fillId="3" fontId="4" numFmtId="0" xfId="0" applyAlignment="1" applyBorder="1" applyFont="1">
      <alignment horizontal="center" vertical="bottom"/>
    </xf>
    <xf borderId="5" fillId="3" fontId="4" numFmtId="1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5" fillId="0" fontId="3" numFmtId="166" xfId="0" applyAlignment="1" applyBorder="1" applyFont="1" applyNumberFormat="1">
      <alignment horizontal="right" vertical="bottom"/>
    </xf>
    <xf borderId="16" fillId="5" fontId="3" numFmtId="0" xfId="0" applyAlignment="1" applyBorder="1" applyFont="1">
      <alignment vertical="bottom"/>
    </xf>
    <xf borderId="16" fillId="0" fontId="2" numFmtId="0" xfId="0" applyBorder="1" applyFont="1"/>
    <xf borderId="17" fillId="0" fontId="2" numFmtId="0" xfId="0" applyBorder="1" applyFont="1"/>
    <xf borderId="18" fillId="3" fontId="3" numFmtId="0" xfId="0" applyAlignment="1" applyBorder="1" applyFont="1">
      <alignment vertical="bottom"/>
    </xf>
    <xf borderId="19" fillId="3" fontId="3" numFmtId="0" xfId="0" applyAlignment="1" applyBorder="1" applyFont="1">
      <alignment vertical="bottom"/>
    </xf>
    <xf borderId="20" fillId="3" fontId="3" numFmtId="0" xfId="0" applyAlignment="1" applyBorder="1" applyFont="1">
      <alignment vertical="bottom"/>
    </xf>
    <xf borderId="18" fillId="3" fontId="6" numFmtId="165" xfId="0" applyAlignment="1" applyBorder="1" applyFont="1" applyNumberFormat="1">
      <alignment horizontal="center" vertical="bottom"/>
    </xf>
    <xf borderId="19" fillId="3" fontId="4" numFmtId="165" xfId="0" applyAlignment="1" applyBorder="1" applyFont="1" applyNumberFormat="1">
      <alignment horizontal="center" vertical="bottom"/>
    </xf>
    <xf borderId="19" fillId="3" fontId="3" numFmtId="165" xfId="0" applyAlignment="1" applyBorder="1" applyFont="1" applyNumberFormat="1">
      <alignment vertical="bottom"/>
    </xf>
    <xf borderId="5" fillId="0" fontId="4" numFmtId="165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vertical="bottom"/>
    </xf>
    <xf borderId="1" fillId="0" fontId="4" numFmtId="0" xfId="0" applyAlignment="1" applyBorder="1" applyFont="1">
      <alignment horizontal="center" vertical="bottom"/>
    </xf>
    <xf borderId="5" fillId="0" fontId="6" numFmtId="165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vertical="bottom"/>
    </xf>
    <xf borderId="5" fillId="0" fontId="6" numFmtId="166" xfId="0" applyAlignment="1" applyBorder="1" applyFont="1" applyNumberFormat="1">
      <alignment horizontal="center" readingOrder="0" vertical="bottom"/>
    </xf>
    <xf borderId="1" fillId="0" fontId="6" numFmtId="165" xfId="0" applyAlignment="1" applyBorder="1" applyFont="1" applyNumberFormat="1">
      <alignment horizontal="center" vertical="bottom"/>
    </xf>
    <xf borderId="0" fillId="0" fontId="10" numFmtId="165" xfId="0" applyAlignment="1" applyFont="1" applyNumberForma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5" fillId="0" fontId="5" numFmtId="166" xfId="0" applyAlignment="1" applyBorder="1" applyFont="1" applyNumberFormat="1">
      <alignment horizontal="right" readingOrder="0" vertical="bottom"/>
    </xf>
    <xf borderId="5" fillId="0" fontId="3" numFmtId="165" xfId="0" applyAlignment="1" applyBorder="1" applyFont="1" applyNumberFormat="1">
      <alignment readingOrder="0" vertical="bottom"/>
    </xf>
    <xf borderId="21" fillId="0" fontId="4" numFmtId="165" xfId="0" applyAlignment="1" applyBorder="1" applyFont="1" applyNumberFormat="1">
      <alignment horizontal="center" vertical="bottom"/>
    </xf>
    <xf borderId="16" fillId="5" fontId="10" numFmtId="0" xfId="0" applyAlignment="1" applyBorder="1" applyFont="1">
      <alignment horizontal="center" readingOrder="0" vertical="bottom"/>
    </xf>
    <xf borderId="5" fillId="0" fontId="3" numFmtId="166" xfId="0" applyAlignment="1" applyBorder="1" applyFont="1" applyNumberFormat="1">
      <alignment readingOrder="0" vertical="bottom"/>
    </xf>
    <xf borderId="21" fillId="0" fontId="3" numFmtId="165" xfId="0" applyAlignment="1" applyBorder="1" applyFont="1" applyNumberFormat="1">
      <alignment vertical="bottom"/>
    </xf>
    <xf borderId="0" fillId="0" fontId="4" numFmtId="0" xfId="0" applyAlignment="1" applyFont="1">
      <alignment horizontal="center" shrinkToFit="0" vertical="bottom" wrapText="1"/>
    </xf>
    <xf borderId="1" fillId="3" fontId="4" numFmtId="0" xfId="0" applyAlignment="1" applyBorder="1" applyFont="1">
      <alignment horizontal="center" vertical="bottom"/>
    </xf>
    <xf borderId="5" fillId="0" fontId="11" numFmtId="165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1" fillId="5" fontId="10" numFmtId="0" xfId="0" applyAlignment="1" applyBorder="1" applyFont="1">
      <alignment horizontal="center" readingOrder="0" vertical="bottom"/>
    </xf>
    <xf borderId="22" fillId="5" fontId="3" numFmtId="0" xfId="0" applyAlignment="1" applyBorder="1" applyFont="1">
      <alignment vertical="bottom"/>
    </xf>
    <xf borderId="16" fillId="5" fontId="3" numFmtId="165" xfId="0" applyAlignment="1" applyBorder="1" applyFont="1" applyNumberFormat="1">
      <alignment vertical="bottom"/>
    </xf>
    <xf borderId="22" fillId="0" fontId="3" numFmtId="166" xfId="0" applyAlignment="1" applyBorder="1" applyFont="1" applyNumberFormat="1">
      <alignment readingOrder="0" vertical="bottom"/>
    </xf>
    <xf borderId="5" fillId="5" fontId="10" numFmtId="165" xfId="0" applyAlignment="1" applyBorder="1" applyFont="1" applyNumberFormat="1">
      <alignment horizontal="right" readingOrder="0" vertical="bottom"/>
    </xf>
    <xf borderId="0" fillId="0" fontId="12" numFmtId="3" xfId="0" applyAlignment="1" applyFont="1" applyNumberFormat="1">
      <alignment readingOrder="0"/>
    </xf>
    <xf borderId="5" fillId="5" fontId="10" numFmtId="165" xfId="0" applyAlignment="1" applyBorder="1" applyFont="1" applyNumberFormat="1">
      <alignment readingOrder="0" vertical="bottom"/>
    </xf>
    <xf borderId="1" fillId="5" fontId="10" numFmtId="165" xfId="0" applyAlignment="1" applyBorder="1" applyFont="1" applyNumberFormat="1">
      <alignment readingOrder="0" vertical="bottom"/>
    </xf>
    <xf borderId="0" fillId="0" fontId="10" numFmtId="166" xfId="0" applyAlignment="1" applyFont="1" applyNumberFormat="1">
      <alignment readingOrder="0" vertical="bottom"/>
    </xf>
    <xf borderId="6" fillId="5" fontId="10" numFmtId="165" xfId="0" applyAlignment="1" applyBorder="1" applyFont="1" applyNumberFormat="1">
      <alignment readingOrder="0" vertical="bottom"/>
    </xf>
    <xf borderId="6" fillId="5" fontId="10" numFmtId="3" xfId="0" applyAlignment="1" applyBorder="1" applyFont="1" applyNumberFormat="1">
      <alignment readingOrder="0" vertical="bottom"/>
    </xf>
    <xf borderId="23" fillId="5" fontId="4" numFmtId="0" xfId="0" applyAlignment="1" applyBorder="1" applyFont="1">
      <alignment horizontal="center" readingOrder="0" vertical="bottom"/>
    </xf>
    <xf borderId="1" fillId="5" fontId="6" numFmtId="0" xfId="0" applyAlignment="1" applyBorder="1" applyFont="1">
      <alignment readingOrder="0" vertical="bottom"/>
    </xf>
    <xf borderId="5" fillId="5" fontId="6" numFmtId="0" xfId="0" applyAlignment="1" applyBorder="1" applyFont="1">
      <alignment readingOrder="0" vertical="bottom"/>
    </xf>
    <xf borderId="5" fillId="5" fontId="3" numFmtId="3" xfId="0" applyAlignment="1" applyBorder="1" applyFont="1" applyNumberFormat="1">
      <alignment readingOrder="0" vertical="bottom"/>
    </xf>
    <xf borderId="5" fillId="5" fontId="10" numFmtId="0" xfId="0" applyAlignment="1" applyBorder="1" applyFont="1">
      <alignment horizontal="center" readingOrder="0" vertical="bottom"/>
    </xf>
    <xf borderId="5" fillId="0" fontId="7" numFmtId="0" xfId="0" applyBorder="1" applyFont="1"/>
    <xf borderId="7" fillId="5" fontId="10" numFmtId="165" xfId="0" applyAlignment="1" applyBorder="1" applyFont="1" applyNumberFormat="1">
      <alignment readingOrder="0" vertical="bottom"/>
    </xf>
    <xf borderId="5" fillId="6" fontId="4" numFmtId="165" xfId="0" applyAlignment="1" applyBorder="1" applyFill="1" applyFont="1" applyNumberFormat="1">
      <alignment horizontal="center" shrinkToFit="0" vertical="bottom" wrapText="1"/>
    </xf>
    <xf borderId="0" fillId="0" fontId="13" numFmtId="3" xfId="0" applyAlignment="1" applyFont="1" applyNumberFormat="1">
      <alignment readingOrder="0"/>
    </xf>
    <xf borderId="1" fillId="5" fontId="14" numFmtId="165" xfId="0" applyAlignment="1" applyBorder="1" applyFont="1" applyNumberFormat="1">
      <alignment horizontal="center" readingOrder="0" vertical="bottom"/>
    </xf>
    <xf borderId="5" fillId="6" fontId="3" numFmtId="165" xfId="0" applyAlignment="1" applyBorder="1" applyFont="1" applyNumberFormat="1">
      <alignment vertical="bottom"/>
    </xf>
    <xf borderId="5" fillId="5" fontId="15" numFmtId="165" xfId="0" applyAlignment="1" applyBorder="1" applyFont="1" applyNumberFormat="1">
      <alignment readingOrder="0" vertical="bottom"/>
    </xf>
    <xf borderId="1" fillId="5" fontId="15" numFmtId="165" xfId="0" applyAlignment="1" applyBorder="1" applyFont="1" applyNumberFormat="1">
      <alignment readingOrder="0" vertical="bottom"/>
    </xf>
    <xf borderId="11" fillId="3" fontId="4" numFmtId="0" xfId="0" applyAlignment="1" applyBorder="1" applyFont="1">
      <alignment horizontal="center" vertical="bottom"/>
    </xf>
    <xf borderId="24" fillId="3" fontId="4" numFmtId="0" xfId="0" applyAlignment="1" applyBorder="1" applyFont="1">
      <alignment horizontal="center" shrinkToFit="0" vertical="bottom" wrapText="1"/>
    </xf>
    <xf borderId="25" fillId="3" fontId="3" numFmtId="0" xfId="0" applyAlignment="1" applyBorder="1" applyFont="1">
      <alignment vertical="bottom"/>
    </xf>
    <xf borderId="26" fillId="3" fontId="3" numFmtId="0" xfId="0" applyAlignment="1" applyBorder="1" applyFont="1">
      <alignment vertical="bottom"/>
    </xf>
    <xf borderId="4" fillId="3" fontId="10" numFmtId="165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readingOrder="0"/>
    </xf>
    <xf borderId="5" fillId="0" fontId="3" numFmtId="3" xfId="0" applyAlignment="1" applyBorder="1" applyFont="1" applyNumberFormat="1">
      <alignment readingOrder="0" vertical="bottom"/>
    </xf>
    <xf borderId="1" fillId="0" fontId="7" numFmtId="0" xfId="0" applyBorder="1" applyFont="1"/>
    <xf borderId="13" fillId="3" fontId="10" numFmtId="165" xfId="0" applyAlignment="1" applyBorder="1" applyFont="1" applyNumberFormat="1">
      <alignment vertical="bottom"/>
    </xf>
    <xf borderId="6" fillId="5" fontId="15" numFmtId="3" xfId="0" applyAlignment="1" applyBorder="1" applyFont="1" applyNumberFormat="1">
      <alignment readingOrder="0" vertical="bottom"/>
    </xf>
    <xf borderId="0" fillId="0" fontId="7" numFmtId="165" xfId="0" applyFont="1" applyNumberFormat="1"/>
    <xf borderId="6" fillId="5" fontId="15" numFmtId="0" xfId="0" applyAlignment="1" applyBorder="1" applyFont="1">
      <alignment horizontal="center" readingOrder="0" vertical="bottom"/>
    </xf>
    <xf borderId="5" fillId="0" fontId="6" numFmtId="165" xfId="0" applyAlignment="1" applyBorder="1" applyFont="1" applyNumberFormat="1">
      <alignment horizontal="center" readingOrder="0" vertical="bottom"/>
    </xf>
    <xf borderId="5" fillId="0" fontId="10" numFmtId="165" xfId="0" applyAlignment="1" applyBorder="1" applyFont="1" applyNumberFormat="1">
      <alignment readingOrder="0" vertical="bottom"/>
    </xf>
    <xf borderId="27" fillId="3" fontId="3" numFmtId="0" xfId="0" applyAlignment="1" applyBorder="1" applyFont="1">
      <alignment vertical="bottom"/>
    </xf>
    <xf borderId="12" fillId="3" fontId="11" numFmtId="165" xfId="0" applyAlignment="1" applyBorder="1" applyFont="1" applyNumberFormat="1">
      <alignment horizontal="center" vertical="bottom"/>
    </xf>
    <xf borderId="0" fillId="0" fontId="3" numFmtId="167" xfId="0" applyAlignment="1" applyFont="1" applyNumberFormat="1">
      <alignment readingOrder="0" vertical="bottom"/>
    </xf>
    <xf borderId="5" fillId="0" fontId="11" numFmtId="166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167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readingOrder="0"/>
    </xf>
    <xf borderId="0" fillId="0" fontId="12" numFmtId="165" xfId="0" applyFont="1" applyNumberFormat="1"/>
    <xf borderId="5" fillId="0" fontId="16" numFmtId="3" xfId="0" applyAlignment="1" applyBorder="1" applyFont="1" applyNumberFormat="1">
      <alignment readingOrder="0" vertical="bottom"/>
    </xf>
    <xf borderId="0" fillId="0" fontId="3" numFmtId="168" xfId="0" applyAlignment="1" applyFont="1" applyNumberFormat="1">
      <alignment readingOrder="0" vertical="bottom"/>
    </xf>
    <xf borderId="1" fillId="0" fontId="17" numFmtId="0" xfId="0" applyAlignment="1" applyBorder="1" applyFont="1">
      <alignment horizontal="center" readingOrder="0" vertical="bottom"/>
    </xf>
    <xf borderId="5" fillId="0" fontId="4" numFmtId="165" xfId="0" applyAlignment="1" applyBorder="1" applyFont="1" applyNumberFormat="1">
      <alignment horizontal="center" readingOrder="0" vertical="bottom"/>
    </xf>
    <xf borderId="8" fillId="0" fontId="4" numFmtId="165" xfId="0" applyAlignment="1" applyBorder="1" applyFont="1" applyNumberFormat="1">
      <alignment horizontal="center" readingOrder="0" vertical="bottom"/>
    </xf>
    <xf borderId="8" fillId="0" fontId="6" numFmtId="165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20.38"/>
    <col customWidth="1" min="9" max="9" width="19.0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4</v>
      </c>
      <c r="B2" s="2"/>
      <c r="C2" s="2"/>
      <c r="D2" s="2"/>
      <c r="E2" s="2"/>
      <c r="F2" s="2"/>
      <c r="G2" s="2"/>
      <c r="H2" s="2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5</v>
      </c>
      <c r="B3" s="7" t="s">
        <v>6</v>
      </c>
      <c r="C3" s="8" t="s">
        <v>7</v>
      </c>
      <c r="D3" s="9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1" t="s">
        <v>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2">
        <v>1.0</v>
      </c>
      <c r="B4" s="13" t="s">
        <v>18</v>
      </c>
      <c r="C4" s="14" t="s">
        <v>19</v>
      </c>
      <c r="D4" s="15"/>
      <c r="E4" s="16"/>
      <c r="G4" s="18">
        <v>3.29E7</v>
      </c>
      <c r="H4" s="19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2">
        <v>2.0</v>
      </c>
      <c r="B5" s="26" t="s">
        <v>23</v>
      </c>
      <c r="C5" s="28" t="s">
        <v>26</v>
      </c>
      <c r="D5" s="21"/>
      <c r="E5" s="22"/>
      <c r="F5" s="20">
        <v>1.65E7</v>
      </c>
      <c r="G5" s="19"/>
      <c r="H5" s="22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2">
        <v>3.0</v>
      </c>
      <c r="B6" s="26" t="s">
        <v>27</v>
      </c>
      <c r="C6" s="28" t="s">
        <v>28</v>
      </c>
      <c r="D6" s="25"/>
      <c r="E6" s="20">
        <v>1.0E7</v>
      </c>
      <c r="F6" s="19"/>
      <c r="G6" s="20">
        <v>1.105E7</v>
      </c>
      <c r="H6" s="23">
        <v>1000000.0</v>
      </c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7"/>
      <c r="B7" s="29"/>
      <c r="C7" s="30"/>
      <c r="D7" s="30"/>
      <c r="E7" s="30"/>
      <c r="F7" s="31">
        <f t="shared" ref="F7:H7" si="1">SUM(F4:F6)</f>
        <v>16500000</v>
      </c>
      <c r="G7" s="31">
        <f t="shared" si="1"/>
        <v>43950000</v>
      </c>
      <c r="H7" s="31">
        <f t="shared" si="1"/>
        <v>1000000</v>
      </c>
      <c r="I7" s="31">
        <f>F7+G7</f>
        <v>60450000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29</v>
      </c>
      <c r="B8" s="2"/>
      <c r="C8" s="2"/>
      <c r="D8" s="2"/>
      <c r="E8" s="2"/>
      <c r="F8" s="2"/>
      <c r="G8" s="2"/>
      <c r="H8" s="2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8" t="s">
        <v>5</v>
      </c>
      <c r="B9" s="7" t="s">
        <v>6</v>
      </c>
      <c r="C9" s="8" t="s">
        <v>7</v>
      </c>
      <c r="D9" s="32" t="s">
        <v>30</v>
      </c>
      <c r="E9" s="10" t="s">
        <v>10</v>
      </c>
      <c r="F9" s="33" t="s">
        <v>31</v>
      </c>
      <c r="G9" s="10" t="s">
        <v>32</v>
      </c>
      <c r="H9" s="29"/>
      <c r="I9" s="10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4">
        <v>1.0</v>
      </c>
      <c r="B10" s="35" t="s">
        <v>41</v>
      </c>
      <c r="C10" s="44"/>
      <c r="D10" s="52"/>
      <c r="E10" s="38">
        <v>1623000.0</v>
      </c>
      <c r="F10" s="21"/>
      <c r="G10" s="19"/>
      <c r="H10" s="39"/>
      <c r="I10" s="40"/>
      <c r="J10" s="4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2"/>
      <c r="B11" s="43"/>
      <c r="C11" s="44"/>
      <c r="D11" s="45"/>
      <c r="E11" s="19"/>
      <c r="F11" s="19"/>
      <c r="G11" s="19"/>
      <c r="H11" s="39"/>
      <c r="I11" s="40"/>
      <c r="J11" s="4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7"/>
      <c r="B12" s="48"/>
      <c r="C12" s="29"/>
      <c r="D12" s="49">
        <f t="shared" ref="D12:E12" si="2">SUM(D10:D11)</f>
        <v>0</v>
      </c>
      <c r="E12" s="49">
        <f t="shared" si="2"/>
        <v>1623000</v>
      </c>
      <c r="F12" s="29"/>
      <c r="G12" s="29"/>
      <c r="H12" s="29"/>
      <c r="I12" s="2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50">
        <f>6+3+6+2+3+5+16+14+4</f>
        <v>59</v>
      </c>
      <c r="X12" s="3"/>
      <c r="Y12" s="3"/>
      <c r="Z12" s="3"/>
      <c r="AA12" s="3"/>
    </row>
    <row r="13">
      <c r="A13" s="51" t="s">
        <v>36</v>
      </c>
      <c r="B13" s="2"/>
      <c r="C13" s="2"/>
      <c r="D13" s="2"/>
      <c r="E13" s="2"/>
      <c r="F13" s="2"/>
      <c r="G13" s="2"/>
      <c r="H13" s="2"/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8" t="s">
        <v>5</v>
      </c>
      <c r="B14" s="7" t="s">
        <v>6</v>
      </c>
      <c r="C14" s="8" t="s">
        <v>7</v>
      </c>
      <c r="D14" s="32" t="s">
        <v>37</v>
      </c>
      <c r="E14" s="10" t="s">
        <v>38</v>
      </c>
      <c r="F14" s="10" t="s">
        <v>39</v>
      </c>
      <c r="G14" s="10" t="s">
        <v>40</v>
      </c>
      <c r="H14" s="29"/>
      <c r="I14" s="49" t="s">
        <v>33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2">
        <v>1.0</v>
      </c>
      <c r="B15" s="26" t="s">
        <v>27</v>
      </c>
      <c r="C15" s="28" t="s">
        <v>28</v>
      </c>
      <c r="D15" s="53">
        <v>480000.0</v>
      </c>
      <c r="E15" s="54">
        <v>105000.0</v>
      </c>
      <c r="F15" s="54">
        <v>100000.0</v>
      </c>
      <c r="G15" s="43"/>
      <c r="H15" s="19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55">
        <v>2.0</v>
      </c>
      <c r="B16" s="35" t="s">
        <v>41</v>
      </c>
      <c r="C16" s="28" t="s">
        <v>44</v>
      </c>
      <c r="D16" s="53">
        <v>518000.0</v>
      </c>
      <c r="E16" s="54">
        <v>105000.0</v>
      </c>
      <c r="F16" s="54"/>
      <c r="G16" s="45"/>
      <c r="H16" s="19"/>
      <c r="I16" s="19"/>
      <c r="J16" s="4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55">
        <v>3.0</v>
      </c>
      <c r="H17" s="19"/>
      <c r="I17" s="19"/>
      <c r="J17" s="4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57">
        <v>4.0</v>
      </c>
      <c r="B18" s="43"/>
      <c r="C18" s="44"/>
      <c r="D18" s="58"/>
      <c r="E18" s="43"/>
      <c r="F18" s="43"/>
      <c r="G18" s="43"/>
      <c r="H18" s="19"/>
      <c r="I18" s="19"/>
      <c r="J18" s="4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4"/>
      <c r="B19" s="43"/>
      <c r="C19" s="44"/>
      <c r="D19" s="58"/>
      <c r="E19" s="43"/>
      <c r="F19" s="43"/>
      <c r="G19" s="45"/>
      <c r="H19" s="19"/>
      <c r="I19" s="19"/>
      <c r="J19" s="4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27"/>
      <c r="C20" s="59"/>
      <c r="D20" s="31">
        <f t="shared" ref="D20:F20" si="3">SUM(D15:D19)</f>
        <v>998000</v>
      </c>
      <c r="E20" s="31">
        <f t="shared" si="3"/>
        <v>210000</v>
      </c>
      <c r="F20" s="60">
        <f t="shared" si="3"/>
        <v>100000</v>
      </c>
      <c r="G20" s="61">
        <f>D20+E20+F20</f>
        <v>1308000</v>
      </c>
      <c r="H20" s="62"/>
      <c r="I20" s="6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1" t="s">
        <v>42</v>
      </c>
      <c r="B21" s="2"/>
      <c r="C21" s="2"/>
      <c r="D21" s="2"/>
      <c r="E21" s="2"/>
      <c r="F21" s="2"/>
      <c r="G21" s="2"/>
      <c r="H21" s="2"/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6" t="s">
        <v>5</v>
      </c>
      <c r="B22" s="64" t="s">
        <v>43</v>
      </c>
      <c r="C22" s="65"/>
      <c r="D22" s="66"/>
      <c r="E22" s="67" t="s">
        <v>45</v>
      </c>
      <c r="F22" s="68" t="s">
        <v>46</v>
      </c>
      <c r="G22" s="67" t="s">
        <v>47</v>
      </c>
      <c r="H22" s="69"/>
      <c r="I22" s="70" t="s">
        <v>33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2"/>
      <c r="B23" s="72" t="s">
        <v>57</v>
      </c>
      <c r="C23" s="2"/>
      <c r="D23" s="73"/>
      <c r="E23" s="74">
        <v>2000000.0</v>
      </c>
      <c r="F23" s="42"/>
      <c r="G23" s="42"/>
      <c r="H23" s="42"/>
      <c r="I23" s="42"/>
      <c r="J23" s="4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2"/>
      <c r="B24" s="3"/>
      <c r="C24" s="3"/>
      <c r="D24" s="3"/>
      <c r="E24" s="3"/>
      <c r="F24" s="42"/>
      <c r="G24" s="42"/>
      <c r="H24" s="42"/>
      <c r="I24" s="42"/>
      <c r="J24" s="4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75"/>
      <c r="C25" s="2"/>
      <c r="D25" s="73"/>
      <c r="E25" s="76"/>
      <c r="F25" s="77"/>
      <c r="G25" s="77"/>
      <c r="H25" s="77"/>
      <c r="I25" s="78"/>
      <c r="J25" s="4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0"/>
      <c r="B26" s="27"/>
      <c r="C26" s="79"/>
      <c r="D26" s="59"/>
      <c r="E26" s="60">
        <f>SUM(E23:E25)</f>
        <v>2000000</v>
      </c>
      <c r="F26" s="80"/>
      <c r="G26" s="80"/>
      <c r="H26" s="62"/>
      <c r="I26" s="6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51" t="s">
        <v>50</v>
      </c>
      <c r="B27" s="2"/>
      <c r="C27" s="2"/>
      <c r="D27" s="2"/>
      <c r="E27" s="2"/>
      <c r="F27" s="2"/>
      <c r="G27" s="2"/>
      <c r="H27" s="2"/>
      <c r="I27" s="5"/>
      <c r="J27" s="8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8" t="s">
        <v>5</v>
      </c>
      <c r="B28" s="82" t="s">
        <v>43</v>
      </c>
      <c r="C28" s="79"/>
      <c r="D28" s="59"/>
      <c r="E28" s="83" t="s">
        <v>51</v>
      </c>
      <c r="F28" s="83" t="s">
        <v>12</v>
      </c>
      <c r="G28" s="10" t="s">
        <v>52</v>
      </c>
      <c r="H28" s="30"/>
      <c r="I28" s="7" t="s">
        <v>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4"/>
      <c r="B29" s="72" t="s">
        <v>64</v>
      </c>
      <c r="C29" s="2"/>
      <c r="D29" s="73"/>
      <c r="E29" s="74">
        <v>2000000.0</v>
      </c>
      <c r="F29" s="19"/>
      <c r="G29" s="19"/>
      <c r="H29" s="19"/>
      <c r="I29" s="1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4"/>
      <c r="B30" s="84"/>
      <c r="C30" s="2"/>
      <c r="D30" s="73"/>
      <c r="E30" s="85"/>
      <c r="F30" s="19"/>
      <c r="G30" s="19"/>
      <c r="H30" s="19"/>
      <c r="I30" s="1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4"/>
      <c r="B31" s="86"/>
      <c r="C31" s="87"/>
      <c r="D31" s="88"/>
      <c r="E31" s="25"/>
      <c r="F31" s="19"/>
      <c r="G31" s="19"/>
      <c r="H31" s="19"/>
      <c r="I31" s="1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89"/>
      <c r="B32" s="90"/>
      <c r="C32" s="90"/>
      <c r="D32" s="91"/>
      <c r="E32" s="92">
        <f>SUM(E29:E31)</f>
        <v>2000000</v>
      </c>
      <c r="F32" s="93">
        <f>SUM(F29:F30)</f>
        <v>0</v>
      </c>
      <c r="G32" s="94"/>
      <c r="H32" s="94"/>
      <c r="I32" s="9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95" t="s">
        <v>58</v>
      </c>
      <c r="B33" s="96"/>
      <c r="C33" s="95" t="s">
        <v>59</v>
      </c>
      <c r="D33" s="95" t="s">
        <v>60</v>
      </c>
      <c r="E33" s="96"/>
      <c r="F33" s="96"/>
      <c r="G33" s="95" t="s">
        <v>10</v>
      </c>
      <c r="H33" s="95" t="s">
        <v>12</v>
      </c>
      <c r="I33" s="95" t="s">
        <v>11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97" t="s">
        <v>61</v>
      </c>
      <c r="B34" s="78"/>
      <c r="C34" s="98">
        <f>F7</f>
        <v>16500000</v>
      </c>
      <c r="D34" s="96"/>
      <c r="E34" s="99" t="s">
        <v>62</v>
      </c>
      <c r="F34" s="73"/>
      <c r="G34" s="100">
        <f>C36</f>
        <v>70000</v>
      </c>
      <c r="H34" s="100"/>
      <c r="I34" s="9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97" t="s">
        <v>63</v>
      </c>
      <c r="B35" s="78"/>
      <c r="C35" s="98">
        <f>E12</f>
        <v>1623000</v>
      </c>
      <c r="D35" s="96"/>
      <c r="E35" s="99" t="s">
        <v>65</v>
      </c>
      <c r="F35" s="73"/>
      <c r="G35" s="102">
        <f>C39-C36</f>
        <v>16815000</v>
      </c>
      <c r="H35" s="102">
        <f>H7</f>
        <v>1000000</v>
      </c>
      <c r="I35" s="98">
        <f>G7</f>
        <v>43950000</v>
      </c>
      <c r="J35" s="103">
        <f>I35+H35</f>
        <v>44950000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97" t="s">
        <v>68</v>
      </c>
      <c r="B36" s="78"/>
      <c r="C36" s="106">
        <v>70000.0</v>
      </c>
      <c r="D36" s="96"/>
      <c r="E36" s="96"/>
      <c r="F36" s="96"/>
      <c r="G36" s="96"/>
      <c r="H36" s="96"/>
      <c r="I36" s="9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97" t="s">
        <v>69</v>
      </c>
      <c r="B37" s="78"/>
      <c r="C37" s="98">
        <f>E26</f>
        <v>2000000</v>
      </c>
      <c r="D37" s="96"/>
      <c r="E37" s="107" t="s">
        <v>71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97" t="s">
        <v>72</v>
      </c>
      <c r="B38" s="78"/>
      <c r="C38" s="98">
        <f>E32+G20</f>
        <v>3308000</v>
      </c>
      <c r="D38" s="95">
        <f>F32</f>
        <v>0</v>
      </c>
      <c r="E38" s="110"/>
      <c r="F38" s="81"/>
      <c r="G38" s="81"/>
      <c r="H38" s="3"/>
      <c r="I38" s="111" t="s">
        <v>73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12" t="s">
        <v>74</v>
      </c>
      <c r="B39" s="73"/>
      <c r="C39" s="113">
        <f>C34+C35+C36+C37-C38</f>
        <v>16885000</v>
      </c>
      <c r="D39" s="96"/>
      <c r="E39" s="114" t="s">
        <v>75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8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50" t="s">
        <v>73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8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8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6">
    <mergeCell ref="A1:I1"/>
    <mergeCell ref="A2:I2"/>
    <mergeCell ref="A8:I8"/>
    <mergeCell ref="A13:I13"/>
    <mergeCell ref="A21:I21"/>
    <mergeCell ref="B23:D23"/>
    <mergeCell ref="A27:I27"/>
    <mergeCell ref="A39:B39"/>
    <mergeCell ref="E39:I39"/>
    <mergeCell ref="B25:D25"/>
    <mergeCell ref="B29:D29"/>
    <mergeCell ref="B30:D30"/>
    <mergeCell ref="B31:D31"/>
    <mergeCell ref="E34:F34"/>
    <mergeCell ref="E35:F35"/>
    <mergeCell ref="E37:I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20.38"/>
    <col customWidth="1" min="9" max="9" width="19.0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4</v>
      </c>
      <c r="B2" s="2"/>
      <c r="C2" s="2"/>
      <c r="D2" s="2"/>
      <c r="E2" s="2"/>
      <c r="F2" s="2"/>
      <c r="G2" s="2"/>
      <c r="H2" s="2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5</v>
      </c>
      <c r="B3" s="7" t="s">
        <v>6</v>
      </c>
      <c r="C3" s="8" t="s">
        <v>7</v>
      </c>
      <c r="D3" s="9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1" t="s">
        <v>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2">
        <v>1.0</v>
      </c>
      <c r="B4" s="13" t="s">
        <v>15</v>
      </c>
      <c r="C4" s="14" t="s">
        <v>17</v>
      </c>
      <c r="D4" s="15"/>
      <c r="E4" s="16"/>
      <c r="F4" s="17">
        <v>1.53E7</v>
      </c>
      <c r="G4" s="18"/>
      <c r="H4" s="19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2">
        <v>2.0</v>
      </c>
      <c r="B5" s="13" t="s">
        <v>20</v>
      </c>
      <c r="C5" s="14" t="s">
        <v>17</v>
      </c>
      <c r="D5" s="21"/>
      <c r="E5" s="22"/>
      <c r="F5" s="20"/>
      <c r="G5" s="20">
        <v>1.65E7</v>
      </c>
      <c r="H5" s="23">
        <v>800000.0</v>
      </c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2">
        <v>3.0</v>
      </c>
      <c r="B6" s="13" t="s">
        <v>24</v>
      </c>
      <c r="C6" s="14" t="s">
        <v>25</v>
      </c>
      <c r="D6" s="25"/>
      <c r="E6" s="20"/>
      <c r="F6" s="19"/>
      <c r="G6" s="20">
        <v>2.548E7</v>
      </c>
      <c r="H6" s="23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7"/>
      <c r="B7" s="29"/>
      <c r="C7" s="30"/>
      <c r="D7" s="30"/>
      <c r="E7" s="30"/>
      <c r="F7" s="31">
        <f t="shared" ref="F7:H7" si="1">SUM(F4:F6)</f>
        <v>15300000</v>
      </c>
      <c r="G7" s="31">
        <f t="shared" si="1"/>
        <v>41980000</v>
      </c>
      <c r="H7" s="31">
        <f t="shared" si="1"/>
        <v>800000</v>
      </c>
      <c r="I7" s="31">
        <f>F7+G7</f>
        <v>57280000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29</v>
      </c>
      <c r="B8" s="2"/>
      <c r="C8" s="2"/>
      <c r="D8" s="2"/>
      <c r="E8" s="2"/>
      <c r="F8" s="2"/>
      <c r="G8" s="2"/>
      <c r="H8" s="2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8" t="s">
        <v>5</v>
      </c>
      <c r="B9" s="7" t="s">
        <v>6</v>
      </c>
      <c r="C9" s="8" t="s">
        <v>7</v>
      </c>
      <c r="D9" s="32" t="s">
        <v>30</v>
      </c>
      <c r="E9" s="10" t="s">
        <v>10</v>
      </c>
      <c r="F9" s="33" t="s">
        <v>31</v>
      </c>
      <c r="G9" s="10" t="s">
        <v>32</v>
      </c>
      <c r="H9" s="29"/>
      <c r="I9" s="10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4">
        <v>1.0</v>
      </c>
      <c r="B10" s="35" t="s">
        <v>34</v>
      </c>
      <c r="C10" s="36" t="s">
        <v>35</v>
      </c>
      <c r="D10" s="37">
        <v>1000000.0</v>
      </c>
      <c r="E10" s="38"/>
      <c r="F10" s="21"/>
      <c r="G10" s="19"/>
      <c r="H10" s="39"/>
      <c r="I10" s="40"/>
      <c r="J10" s="4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2"/>
      <c r="B11" s="43"/>
      <c r="C11" s="44"/>
      <c r="D11" s="45"/>
      <c r="E11" s="19"/>
      <c r="F11" s="19"/>
      <c r="G11" s="19"/>
      <c r="H11" s="39"/>
      <c r="I11" s="40"/>
      <c r="J11" s="4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7"/>
      <c r="B12" s="48"/>
      <c r="C12" s="29"/>
      <c r="D12" s="49">
        <f t="shared" ref="D12:E12" si="2">SUM(D10:D11)</f>
        <v>1000000</v>
      </c>
      <c r="E12" s="49">
        <f t="shared" si="2"/>
        <v>0</v>
      </c>
      <c r="F12" s="29"/>
      <c r="G12" s="29"/>
      <c r="H12" s="29"/>
      <c r="I12" s="2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50">
        <f>6+3+6+2+3+5+16+14+4</f>
        <v>59</v>
      </c>
      <c r="X12" s="3"/>
      <c r="Y12" s="3"/>
      <c r="Z12" s="3"/>
      <c r="AA12" s="3"/>
    </row>
    <row r="13">
      <c r="A13" s="51" t="s">
        <v>36</v>
      </c>
      <c r="B13" s="2"/>
      <c r="C13" s="2"/>
      <c r="D13" s="2"/>
      <c r="E13" s="2"/>
      <c r="F13" s="2"/>
      <c r="G13" s="2"/>
      <c r="H13" s="2"/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8" t="s">
        <v>5</v>
      </c>
      <c r="B14" s="7" t="s">
        <v>6</v>
      </c>
      <c r="C14" s="8" t="s">
        <v>7</v>
      </c>
      <c r="D14" s="32" t="s">
        <v>37</v>
      </c>
      <c r="E14" s="10" t="s">
        <v>38</v>
      </c>
      <c r="F14" s="10" t="s">
        <v>39</v>
      </c>
      <c r="G14" s="10" t="s">
        <v>40</v>
      </c>
      <c r="H14" s="29"/>
      <c r="I14" s="49" t="s">
        <v>33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2">
        <v>1.0</v>
      </c>
      <c r="B15" s="13" t="s">
        <v>20</v>
      </c>
      <c r="C15" s="14" t="s">
        <v>17</v>
      </c>
      <c r="D15" s="53">
        <v>378000.0</v>
      </c>
      <c r="E15" s="54">
        <v>105000.0</v>
      </c>
      <c r="F15" s="54">
        <v>100000.0</v>
      </c>
      <c r="G15" s="43"/>
      <c r="H15" s="19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55">
        <v>2.0</v>
      </c>
      <c r="B16" s="13" t="s">
        <v>15</v>
      </c>
      <c r="C16" s="14" t="s">
        <v>17</v>
      </c>
      <c r="D16" s="53">
        <v>378000.0</v>
      </c>
      <c r="E16" s="54">
        <v>105000.0</v>
      </c>
      <c r="F16" s="54">
        <v>100000.0</v>
      </c>
      <c r="G16" s="56"/>
      <c r="H16" s="19"/>
      <c r="I16" s="19"/>
      <c r="J16" s="4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55">
        <v>3.0</v>
      </c>
      <c r="G17" s="45"/>
      <c r="H17" s="19"/>
      <c r="I17" s="19"/>
      <c r="J17" s="4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57">
        <v>4.0</v>
      </c>
      <c r="B18" s="43"/>
      <c r="C18" s="44"/>
      <c r="D18" s="58"/>
      <c r="E18" s="43"/>
      <c r="F18" s="43"/>
      <c r="G18" s="43"/>
      <c r="H18" s="19"/>
      <c r="I18" s="19"/>
      <c r="J18" s="4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4"/>
      <c r="B19" s="43"/>
      <c r="C19" s="44"/>
      <c r="D19" s="58"/>
      <c r="E19" s="43"/>
      <c r="F19" s="43"/>
      <c r="G19" s="45"/>
      <c r="H19" s="19"/>
      <c r="I19" s="19"/>
      <c r="J19" s="4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27"/>
      <c r="C20" s="59"/>
      <c r="D20" s="31">
        <f t="shared" ref="D20:F20" si="3">SUM(D15:D19)</f>
        <v>756000</v>
      </c>
      <c r="E20" s="31">
        <f t="shared" si="3"/>
        <v>210000</v>
      </c>
      <c r="F20" s="60">
        <f t="shared" si="3"/>
        <v>200000</v>
      </c>
      <c r="G20" s="61">
        <f>D20+E20+F20</f>
        <v>1166000</v>
      </c>
      <c r="H20" s="62"/>
      <c r="I20" s="6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1" t="s">
        <v>42</v>
      </c>
      <c r="B21" s="2"/>
      <c r="C21" s="2"/>
      <c r="D21" s="2"/>
      <c r="E21" s="2"/>
      <c r="F21" s="2"/>
      <c r="G21" s="2"/>
      <c r="H21" s="2"/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6" t="s">
        <v>5</v>
      </c>
      <c r="B22" s="64" t="s">
        <v>43</v>
      </c>
      <c r="C22" s="65"/>
      <c r="D22" s="66"/>
      <c r="E22" s="67" t="s">
        <v>45</v>
      </c>
      <c r="F22" s="68" t="s">
        <v>46</v>
      </c>
      <c r="G22" s="67" t="s">
        <v>47</v>
      </c>
      <c r="H22" s="69"/>
      <c r="I22" s="70" t="s">
        <v>33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2"/>
      <c r="B23" s="72" t="s">
        <v>48</v>
      </c>
      <c r="C23" s="2"/>
      <c r="D23" s="73"/>
      <c r="E23" s="74">
        <v>2000000.0</v>
      </c>
      <c r="F23" s="42"/>
      <c r="G23" s="42"/>
      <c r="H23" s="42"/>
      <c r="I23" s="42"/>
      <c r="J23" s="4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2"/>
      <c r="B24" s="3"/>
      <c r="C24" s="3"/>
      <c r="D24" s="3"/>
      <c r="E24" s="3"/>
      <c r="F24" s="42"/>
      <c r="G24" s="42"/>
      <c r="H24" s="42"/>
      <c r="I24" s="42"/>
      <c r="J24" s="4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75"/>
      <c r="C25" s="2"/>
      <c r="D25" s="73"/>
      <c r="E25" s="76"/>
      <c r="F25" s="77"/>
      <c r="G25" s="77"/>
      <c r="H25" s="77"/>
      <c r="I25" s="78"/>
      <c r="J25" s="4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0"/>
      <c r="B26" s="27"/>
      <c r="C26" s="79"/>
      <c r="D26" s="59"/>
      <c r="E26" s="60">
        <f>SUM(E23:E25)</f>
        <v>2000000</v>
      </c>
      <c r="F26" s="80"/>
      <c r="G26" s="80"/>
      <c r="H26" s="62"/>
      <c r="I26" s="6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51" t="s">
        <v>50</v>
      </c>
      <c r="B27" s="2"/>
      <c r="C27" s="2"/>
      <c r="D27" s="2"/>
      <c r="E27" s="2"/>
      <c r="F27" s="2"/>
      <c r="G27" s="2"/>
      <c r="H27" s="2"/>
      <c r="I27" s="5"/>
      <c r="J27" s="8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8" t="s">
        <v>5</v>
      </c>
      <c r="B28" s="82" t="s">
        <v>43</v>
      </c>
      <c r="C28" s="79"/>
      <c r="D28" s="59"/>
      <c r="E28" s="83" t="s">
        <v>51</v>
      </c>
      <c r="F28" s="83" t="s">
        <v>12</v>
      </c>
      <c r="G28" s="10" t="s">
        <v>52</v>
      </c>
      <c r="H28" s="30"/>
      <c r="I28" s="7" t="s">
        <v>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4"/>
      <c r="B29" s="72" t="s">
        <v>54</v>
      </c>
      <c r="C29" s="2"/>
      <c r="D29" s="73"/>
      <c r="E29" s="74">
        <v>2000000.0</v>
      </c>
      <c r="F29" s="19"/>
      <c r="G29" s="19"/>
      <c r="H29" s="19"/>
      <c r="I29" s="1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4"/>
      <c r="B30" s="84"/>
      <c r="C30" s="2"/>
      <c r="D30" s="73"/>
      <c r="E30" s="85"/>
      <c r="F30" s="19"/>
      <c r="G30" s="19"/>
      <c r="H30" s="19"/>
      <c r="I30" s="1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4"/>
      <c r="B31" s="86"/>
      <c r="C31" s="87"/>
      <c r="D31" s="88"/>
      <c r="E31" s="25"/>
      <c r="F31" s="19"/>
      <c r="G31" s="19"/>
      <c r="H31" s="19"/>
      <c r="I31" s="1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89"/>
      <c r="B32" s="90"/>
      <c r="C32" s="90"/>
      <c r="D32" s="91"/>
      <c r="E32" s="92">
        <f>SUM(E29:E31)</f>
        <v>2000000</v>
      </c>
      <c r="F32" s="93">
        <f>SUM(F29:F30)</f>
        <v>0</v>
      </c>
      <c r="G32" s="94"/>
      <c r="H32" s="94"/>
      <c r="I32" s="9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95" t="s">
        <v>58</v>
      </c>
      <c r="B33" s="96"/>
      <c r="C33" s="95" t="s">
        <v>59</v>
      </c>
      <c r="D33" s="95" t="s">
        <v>60</v>
      </c>
      <c r="E33" s="96"/>
      <c r="F33" s="96"/>
      <c r="G33" s="95" t="s">
        <v>10</v>
      </c>
      <c r="H33" s="95" t="s">
        <v>12</v>
      </c>
      <c r="I33" s="95" t="s">
        <v>11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97" t="s">
        <v>61</v>
      </c>
      <c r="B34" s="78"/>
      <c r="C34" s="98">
        <f>F7</f>
        <v>15300000</v>
      </c>
      <c r="D34" s="96"/>
      <c r="E34" s="99" t="s">
        <v>62</v>
      </c>
      <c r="F34" s="73"/>
      <c r="G34" s="100">
        <f>C36</f>
        <v>230000</v>
      </c>
      <c r="H34" s="100"/>
      <c r="I34" s="9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97" t="s">
        <v>63</v>
      </c>
      <c r="B35" s="78"/>
      <c r="C35" s="98">
        <f>E12</f>
        <v>0</v>
      </c>
      <c r="D35" s="96"/>
      <c r="E35" s="99" t="s">
        <v>65</v>
      </c>
      <c r="F35" s="73"/>
      <c r="G35" s="102">
        <f>C39-C36</f>
        <v>14134000</v>
      </c>
      <c r="H35" s="102">
        <f>H7+D12</f>
        <v>1800000</v>
      </c>
      <c r="I35" s="98">
        <f>G7</f>
        <v>41980000</v>
      </c>
      <c r="J35" s="103">
        <f>I35+H35</f>
        <v>43780000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97" t="s">
        <v>68</v>
      </c>
      <c r="B36" s="78"/>
      <c r="C36" s="106">
        <f>90000+140000</f>
        <v>230000</v>
      </c>
      <c r="D36" s="96"/>
      <c r="E36" s="96"/>
      <c r="F36" s="96"/>
      <c r="G36" s="96"/>
      <c r="H36" s="96"/>
      <c r="I36" s="9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97" t="s">
        <v>69</v>
      </c>
      <c r="B37" s="78"/>
      <c r="C37" s="98">
        <f>E26</f>
        <v>2000000</v>
      </c>
      <c r="D37" s="96"/>
      <c r="E37" s="107" t="s">
        <v>71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97" t="s">
        <v>72</v>
      </c>
      <c r="B38" s="78"/>
      <c r="C38" s="98">
        <f>E32+G20</f>
        <v>3166000</v>
      </c>
      <c r="D38" s="95">
        <f>F32</f>
        <v>0</v>
      </c>
      <c r="E38" s="110"/>
      <c r="F38" s="81"/>
      <c r="G38" s="81"/>
      <c r="H38" s="3"/>
      <c r="I38" s="111" t="s">
        <v>73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12" t="s">
        <v>74</v>
      </c>
      <c r="B39" s="73"/>
      <c r="C39" s="113">
        <f>C34+C35+C36+C37-C38</f>
        <v>14364000</v>
      </c>
      <c r="D39" s="96"/>
      <c r="E39" s="114" t="s">
        <v>75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8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50" t="s">
        <v>73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8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8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6">
    <mergeCell ref="A1:I1"/>
    <mergeCell ref="A2:I2"/>
    <mergeCell ref="A8:I8"/>
    <mergeCell ref="A13:I13"/>
    <mergeCell ref="A21:I21"/>
    <mergeCell ref="B23:D23"/>
    <mergeCell ref="A27:I27"/>
    <mergeCell ref="A39:B39"/>
    <mergeCell ref="E39:I39"/>
    <mergeCell ref="B25:D25"/>
    <mergeCell ref="B29:D29"/>
    <mergeCell ref="B30:D30"/>
    <mergeCell ref="B31:D31"/>
    <mergeCell ref="E34:F34"/>
    <mergeCell ref="E35:F35"/>
    <mergeCell ref="E37:I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20.38"/>
    <col customWidth="1" min="9" max="9" width="1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4</v>
      </c>
      <c r="B2" s="2"/>
      <c r="C2" s="2"/>
      <c r="D2" s="2"/>
      <c r="E2" s="2"/>
      <c r="F2" s="2"/>
      <c r="G2" s="2"/>
      <c r="H2" s="2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5</v>
      </c>
      <c r="B3" s="7" t="s">
        <v>6</v>
      </c>
      <c r="C3" s="8" t="s">
        <v>7</v>
      </c>
      <c r="D3" s="9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1" t="s">
        <v>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2">
        <v>1.0</v>
      </c>
      <c r="B4" s="13" t="s">
        <v>16</v>
      </c>
      <c r="C4" s="14" t="s">
        <v>17</v>
      </c>
      <c r="D4" s="15"/>
      <c r="E4" s="16"/>
      <c r="F4" s="17"/>
      <c r="G4" s="18">
        <v>1.65E7</v>
      </c>
      <c r="H4" s="20">
        <v>800000.0</v>
      </c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2">
        <v>2.0</v>
      </c>
      <c r="B5" s="13"/>
      <c r="C5" s="14"/>
      <c r="D5" s="21"/>
      <c r="E5" s="22"/>
      <c r="F5" s="20"/>
      <c r="G5" s="20"/>
      <c r="H5" s="23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2">
        <v>3.0</v>
      </c>
      <c r="B6" s="13"/>
      <c r="C6" s="14"/>
      <c r="D6" s="25"/>
      <c r="E6" s="20"/>
      <c r="F6" s="19"/>
      <c r="G6" s="20"/>
      <c r="H6" s="23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7"/>
      <c r="B7" s="29"/>
      <c r="C7" s="30"/>
      <c r="D7" s="30"/>
      <c r="E7" s="30"/>
      <c r="F7" s="31">
        <f t="shared" ref="F7:H7" si="1">SUM(F4:F6)</f>
        <v>0</v>
      </c>
      <c r="G7" s="31">
        <f t="shared" si="1"/>
        <v>16500000</v>
      </c>
      <c r="H7" s="31">
        <f t="shared" si="1"/>
        <v>800000</v>
      </c>
      <c r="I7" s="31">
        <f>F7+G7</f>
        <v>16500000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29</v>
      </c>
      <c r="B8" s="2"/>
      <c r="C8" s="2"/>
      <c r="D8" s="2"/>
      <c r="E8" s="2"/>
      <c r="F8" s="2"/>
      <c r="G8" s="2"/>
      <c r="H8" s="2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8" t="s">
        <v>5</v>
      </c>
      <c r="B9" s="7" t="s">
        <v>6</v>
      </c>
      <c r="C9" s="8" t="s">
        <v>7</v>
      </c>
      <c r="D9" s="32" t="s">
        <v>30</v>
      </c>
      <c r="E9" s="10" t="s">
        <v>10</v>
      </c>
      <c r="F9" s="33" t="s">
        <v>31</v>
      </c>
      <c r="G9" s="10" t="s">
        <v>32</v>
      </c>
      <c r="H9" s="29"/>
      <c r="I9" s="10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4">
        <v>1.0</v>
      </c>
      <c r="B10" s="35"/>
      <c r="C10" s="36"/>
      <c r="D10" s="37"/>
      <c r="E10" s="38"/>
      <c r="F10" s="21"/>
      <c r="G10" s="19"/>
      <c r="H10" s="39"/>
      <c r="I10" s="40"/>
      <c r="J10" s="4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2"/>
      <c r="B11" s="43"/>
      <c r="C11" s="44"/>
      <c r="D11" s="45"/>
      <c r="E11" s="19"/>
      <c r="F11" s="19"/>
      <c r="G11" s="19"/>
      <c r="H11" s="39"/>
      <c r="I11" s="40"/>
      <c r="J11" s="4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7"/>
      <c r="B12" s="48"/>
      <c r="C12" s="29"/>
      <c r="D12" s="49"/>
      <c r="E12" s="49">
        <f>SUM(E10:E11)</f>
        <v>0</v>
      </c>
      <c r="F12" s="29"/>
      <c r="G12" s="29"/>
      <c r="H12" s="29"/>
      <c r="I12" s="2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50">
        <f>6+3+6+2+3+5+16+14+4</f>
        <v>59</v>
      </c>
      <c r="X12" s="3"/>
      <c r="Y12" s="3"/>
      <c r="Z12" s="3"/>
      <c r="AA12" s="3"/>
    </row>
    <row r="13">
      <c r="A13" s="51" t="s">
        <v>36</v>
      </c>
      <c r="B13" s="2"/>
      <c r="C13" s="2"/>
      <c r="D13" s="2"/>
      <c r="E13" s="2"/>
      <c r="F13" s="2"/>
      <c r="G13" s="2"/>
      <c r="H13" s="2"/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8" t="s">
        <v>5</v>
      </c>
      <c r="B14" s="7" t="s">
        <v>6</v>
      </c>
      <c r="C14" s="8" t="s">
        <v>7</v>
      </c>
      <c r="D14" s="32" t="s">
        <v>37</v>
      </c>
      <c r="E14" s="10" t="s">
        <v>38</v>
      </c>
      <c r="F14" s="10" t="s">
        <v>39</v>
      </c>
      <c r="G14" s="10" t="s">
        <v>40</v>
      </c>
      <c r="H14" s="29"/>
      <c r="I14" s="49" t="s">
        <v>33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2">
        <v>1.0</v>
      </c>
      <c r="B15" s="13"/>
      <c r="C15" s="14"/>
      <c r="D15" s="53"/>
      <c r="E15" s="54"/>
      <c r="F15" s="54"/>
      <c r="G15" s="43"/>
      <c r="H15" s="19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55">
        <v>2.0</v>
      </c>
      <c r="B16" s="13"/>
      <c r="C16" s="14"/>
      <c r="D16" s="53"/>
      <c r="E16" s="54"/>
      <c r="F16" s="54"/>
      <c r="G16" s="56"/>
      <c r="H16" s="19"/>
      <c r="I16" s="19"/>
      <c r="J16" s="4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55">
        <v>3.0</v>
      </c>
      <c r="G17" s="45"/>
      <c r="H17" s="19"/>
      <c r="I17" s="19"/>
      <c r="J17" s="4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57">
        <v>4.0</v>
      </c>
      <c r="B18" s="43"/>
      <c r="C18" s="44"/>
      <c r="D18" s="58"/>
      <c r="E18" s="43"/>
      <c r="F18" s="43"/>
      <c r="G18" s="43"/>
      <c r="H18" s="19"/>
      <c r="I18" s="19"/>
      <c r="J18" s="4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4"/>
      <c r="B19" s="43"/>
      <c r="C19" s="44"/>
      <c r="D19" s="58"/>
      <c r="E19" s="43"/>
      <c r="F19" s="43"/>
      <c r="G19" s="45"/>
      <c r="H19" s="19"/>
      <c r="I19" s="19"/>
      <c r="J19" s="4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27"/>
      <c r="C20" s="59"/>
      <c r="D20" s="31">
        <f t="shared" ref="D20:F20" si="2">SUM(D15:D19)</f>
        <v>0</v>
      </c>
      <c r="E20" s="31">
        <f t="shared" si="2"/>
        <v>0</v>
      </c>
      <c r="F20" s="60">
        <f t="shared" si="2"/>
        <v>0</v>
      </c>
      <c r="G20" s="61">
        <f>D20+E20+F20</f>
        <v>0</v>
      </c>
      <c r="H20" s="62"/>
      <c r="I20" s="6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1" t="s">
        <v>42</v>
      </c>
      <c r="B21" s="2"/>
      <c r="C21" s="2"/>
      <c r="D21" s="2"/>
      <c r="E21" s="2"/>
      <c r="F21" s="2"/>
      <c r="G21" s="2"/>
      <c r="H21" s="2"/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6" t="s">
        <v>5</v>
      </c>
      <c r="B22" s="64" t="s">
        <v>43</v>
      </c>
      <c r="C22" s="65"/>
      <c r="D22" s="66"/>
      <c r="E22" s="67" t="s">
        <v>45</v>
      </c>
      <c r="F22" s="68" t="s">
        <v>46</v>
      </c>
      <c r="G22" s="67" t="s">
        <v>47</v>
      </c>
      <c r="H22" s="69"/>
      <c r="I22" s="70" t="s">
        <v>33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2"/>
      <c r="B23" s="72" t="s">
        <v>49</v>
      </c>
      <c r="C23" s="2"/>
      <c r="D23" s="73"/>
      <c r="E23" s="74">
        <v>2000000.0</v>
      </c>
      <c r="F23" s="42"/>
      <c r="G23" s="42"/>
      <c r="H23" s="42"/>
      <c r="I23" s="42"/>
      <c r="J23" s="4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2"/>
      <c r="B24" s="3"/>
      <c r="C24" s="3"/>
      <c r="D24" s="3"/>
      <c r="E24" s="3"/>
      <c r="F24" s="42"/>
      <c r="G24" s="42"/>
      <c r="H24" s="42"/>
      <c r="I24" s="42"/>
      <c r="J24" s="4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75"/>
      <c r="C25" s="2"/>
      <c r="D25" s="73"/>
      <c r="E25" s="76"/>
      <c r="F25" s="77"/>
      <c r="G25" s="77"/>
      <c r="H25" s="77"/>
      <c r="I25" s="78"/>
      <c r="J25" s="4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0"/>
      <c r="B26" s="27"/>
      <c r="C26" s="79"/>
      <c r="D26" s="59"/>
      <c r="E26" s="60">
        <f>SUM(E23:E25)</f>
        <v>2000000</v>
      </c>
      <c r="F26" s="80"/>
      <c r="G26" s="80"/>
      <c r="H26" s="62"/>
      <c r="I26" s="6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51" t="s">
        <v>50</v>
      </c>
      <c r="B27" s="2"/>
      <c r="C27" s="2"/>
      <c r="D27" s="2"/>
      <c r="E27" s="2"/>
      <c r="F27" s="2"/>
      <c r="G27" s="2"/>
      <c r="H27" s="2"/>
      <c r="I27" s="5"/>
      <c r="J27" s="8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8" t="s">
        <v>5</v>
      </c>
      <c r="B28" s="82" t="s">
        <v>43</v>
      </c>
      <c r="C28" s="79"/>
      <c r="D28" s="59"/>
      <c r="E28" s="83" t="s">
        <v>51</v>
      </c>
      <c r="F28" s="83" t="s">
        <v>12</v>
      </c>
      <c r="G28" s="10" t="s">
        <v>52</v>
      </c>
      <c r="H28" s="30"/>
      <c r="I28" s="7" t="s">
        <v>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4"/>
      <c r="B29" s="72" t="s">
        <v>56</v>
      </c>
      <c r="C29" s="2"/>
      <c r="D29" s="73"/>
      <c r="E29" s="74">
        <v>2000000.0</v>
      </c>
      <c r="F29" s="19"/>
      <c r="G29" s="19"/>
      <c r="H29" s="19"/>
      <c r="I29" s="1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4"/>
      <c r="F30" s="19"/>
      <c r="G30" s="19"/>
      <c r="H30" s="19"/>
      <c r="I30" s="1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4"/>
      <c r="B31" s="86"/>
      <c r="C31" s="87"/>
      <c r="D31" s="88"/>
      <c r="E31" s="25"/>
      <c r="F31" s="19"/>
      <c r="G31" s="19"/>
      <c r="H31" s="19"/>
      <c r="I31" s="1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89"/>
      <c r="B32" s="90"/>
      <c r="C32" s="90"/>
      <c r="D32" s="91"/>
      <c r="E32" s="92">
        <f>SUM(E29:E31)</f>
        <v>2000000</v>
      </c>
      <c r="F32" s="93">
        <f>SUM(F29:F30)</f>
        <v>0</v>
      </c>
      <c r="G32" s="94"/>
      <c r="H32" s="94"/>
      <c r="I32" s="9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95" t="s">
        <v>58</v>
      </c>
      <c r="B33" s="96"/>
      <c r="C33" s="95" t="s">
        <v>59</v>
      </c>
      <c r="D33" s="95" t="s">
        <v>60</v>
      </c>
      <c r="E33" s="96"/>
      <c r="F33" s="96"/>
      <c r="G33" s="95" t="s">
        <v>10</v>
      </c>
      <c r="H33" s="95" t="s">
        <v>12</v>
      </c>
      <c r="I33" s="95" t="s">
        <v>11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97" t="s">
        <v>61</v>
      </c>
      <c r="B34" s="78"/>
      <c r="C34" s="98">
        <f>F7</f>
        <v>0</v>
      </c>
      <c r="D34" s="96"/>
      <c r="E34" s="99" t="s">
        <v>62</v>
      </c>
      <c r="F34" s="73"/>
      <c r="G34" s="100" t="str">
        <f>C36</f>
        <v/>
      </c>
      <c r="H34" s="100"/>
      <c r="I34" s="9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97" t="s">
        <v>63</v>
      </c>
      <c r="B35" s="78"/>
      <c r="C35" s="98">
        <f>E12</f>
        <v>0</v>
      </c>
      <c r="D35" s="96"/>
      <c r="E35" s="99" t="s">
        <v>65</v>
      </c>
      <c r="F35" s="73"/>
      <c r="G35" s="102">
        <f>C39-C36</f>
        <v>0</v>
      </c>
      <c r="H35" s="102">
        <f>H7+D12</f>
        <v>800000</v>
      </c>
      <c r="I35" s="98">
        <f>G7</f>
        <v>16500000</v>
      </c>
      <c r="J35" s="103">
        <f>I35+H35</f>
        <v>17300000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97" t="s">
        <v>68</v>
      </c>
      <c r="B36" s="78"/>
      <c r="C36" s="106"/>
      <c r="D36" s="96"/>
      <c r="E36" s="96"/>
      <c r="F36" s="96"/>
      <c r="G36" s="96"/>
      <c r="H36" s="96"/>
      <c r="I36" s="9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97" t="s">
        <v>69</v>
      </c>
      <c r="B37" s="78"/>
      <c r="C37" s="98">
        <f>E26</f>
        <v>2000000</v>
      </c>
      <c r="D37" s="96"/>
      <c r="E37" s="107" t="s">
        <v>71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97" t="s">
        <v>72</v>
      </c>
      <c r="B38" s="78"/>
      <c r="C38" s="98">
        <f>E32+G20</f>
        <v>2000000</v>
      </c>
      <c r="D38" s="95">
        <f>F32</f>
        <v>0</v>
      </c>
      <c r="E38" s="110"/>
      <c r="F38" s="81"/>
      <c r="G38" s="81"/>
      <c r="H38" s="3"/>
      <c r="I38" s="111" t="s">
        <v>73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12" t="s">
        <v>74</v>
      </c>
      <c r="B39" s="73"/>
      <c r="C39" s="113">
        <f>C34+C35+C36+C37-C38</f>
        <v>0</v>
      </c>
      <c r="D39" s="96"/>
      <c r="E39" s="114" t="s">
        <v>75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8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50" t="s">
        <v>73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8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8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5">
    <mergeCell ref="B25:D25"/>
    <mergeCell ref="B29:D29"/>
    <mergeCell ref="B31:D31"/>
    <mergeCell ref="E34:F34"/>
    <mergeCell ref="E35:F35"/>
    <mergeCell ref="E37:I37"/>
    <mergeCell ref="A39:B39"/>
    <mergeCell ref="E39:I39"/>
    <mergeCell ref="A1:I1"/>
    <mergeCell ref="A2:I2"/>
    <mergeCell ref="A8:I8"/>
    <mergeCell ref="A13:I13"/>
    <mergeCell ref="A21:I21"/>
    <mergeCell ref="B23:D23"/>
    <mergeCell ref="A27:I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20.38"/>
    <col customWidth="1" min="9" max="9" width="19.0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4</v>
      </c>
      <c r="B2" s="2"/>
      <c r="C2" s="2"/>
      <c r="D2" s="2"/>
      <c r="E2" s="2"/>
      <c r="F2" s="2"/>
      <c r="G2" s="2"/>
      <c r="H2" s="2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5</v>
      </c>
      <c r="B3" s="7" t="s">
        <v>6</v>
      </c>
      <c r="C3" s="8" t="s">
        <v>7</v>
      </c>
      <c r="D3" s="9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1" t="s">
        <v>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2">
        <v>1.0</v>
      </c>
      <c r="B4" s="13" t="s">
        <v>21</v>
      </c>
      <c r="C4" s="14" t="s">
        <v>22</v>
      </c>
      <c r="D4" s="15"/>
      <c r="E4" s="24">
        <v>1.89E7</v>
      </c>
      <c r="F4" s="17">
        <v>870000.0</v>
      </c>
      <c r="G4" s="18"/>
      <c r="H4" s="20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2">
        <v>2.0</v>
      </c>
      <c r="B5" s="13"/>
      <c r="C5" s="14"/>
      <c r="D5" s="21"/>
      <c r="E5" s="22"/>
      <c r="F5" s="20"/>
      <c r="G5" s="20"/>
      <c r="H5" s="23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2">
        <v>3.0</v>
      </c>
      <c r="B6" s="13"/>
      <c r="C6" s="14"/>
      <c r="D6" s="25"/>
      <c r="E6" s="20"/>
      <c r="F6" s="19"/>
      <c r="G6" s="20"/>
      <c r="H6" s="23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7"/>
      <c r="B7" s="29"/>
      <c r="C7" s="30"/>
      <c r="D7" s="30"/>
      <c r="E7" s="30"/>
      <c r="F7" s="31">
        <f t="shared" ref="F7:H7" si="1">SUM(F4:F6)</f>
        <v>870000</v>
      </c>
      <c r="G7" s="31">
        <f t="shared" si="1"/>
        <v>0</v>
      </c>
      <c r="H7" s="31">
        <f t="shared" si="1"/>
        <v>0</v>
      </c>
      <c r="I7" s="31">
        <f>F7+G7</f>
        <v>870000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29</v>
      </c>
      <c r="B8" s="2"/>
      <c r="C8" s="2"/>
      <c r="D8" s="2"/>
      <c r="E8" s="2"/>
      <c r="F8" s="2"/>
      <c r="G8" s="2"/>
      <c r="H8" s="2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8" t="s">
        <v>5</v>
      </c>
      <c r="B9" s="7" t="s">
        <v>6</v>
      </c>
      <c r="C9" s="8" t="s">
        <v>7</v>
      </c>
      <c r="D9" s="32" t="s">
        <v>30</v>
      </c>
      <c r="E9" s="10" t="s">
        <v>10</v>
      </c>
      <c r="F9" s="33" t="s">
        <v>31</v>
      </c>
      <c r="G9" s="10" t="s">
        <v>32</v>
      </c>
      <c r="H9" s="29"/>
      <c r="I9" s="10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4">
        <v>1.0</v>
      </c>
      <c r="B10" s="35"/>
      <c r="C10" s="36"/>
      <c r="D10" s="37"/>
      <c r="E10" s="38"/>
      <c r="F10" s="21"/>
      <c r="G10" s="19"/>
      <c r="H10" s="39"/>
      <c r="I10" s="40"/>
      <c r="J10" s="4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2"/>
      <c r="B11" s="43"/>
      <c r="C11" s="44"/>
      <c r="D11" s="45"/>
      <c r="E11" s="19"/>
      <c r="F11" s="19"/>
      <c r="G11" s="19"/>
      <c r="H11" s="39"/>
      <c r="I11" s="40"/>
      <c r="J11" s="4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7"/>
      <c r="B12" s="48"/>
      <c r="C12" s="29"/>
      <c r="D12" s="49"/>
      <c r="E12" s="49">
        <f>SUM(E10:E11)</f>
        <v>0</v>
      </c>
      <c r="F12" s="29"/>
      <c r="G12" s="29"/>
      <c r="H12" s="29"/>
      <c r="I12" s="2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50">
        <f>6+3+6+2+3+5+16+14+4</f>
        <v>59</v>
      </c>
      <c r="X12" s="3"/>
      <c r="Y12" s="3"/>
      <c r="Z12" s="3"/>
      <c r="AA12" s="3"/>
    </row>
    <row r="13">
      <c r="A13" s="51" t="s">
        <v>36</v>
      </c>
      <c r="B13" s="2"/>
      <c r="C13" s="2"/>
      <c r="D13" s="2"/>
      <c r="E13" s="2"/>
      <c r="F13" s="2"/>
      <c r="G13" s="2"/>
      <c r="H13" s="2"/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8" t="s">
        <v>5</v>
      </c>
      <c r="B14" s="7" t="s">
        <v>6</v>
      </c>
      <c r="C14" s="8" t="s">
        <v>7</v>
      </c>
      <c r="D14" s="32" t="s">
        <v>37</v>
      </c>
      <c r="E14" s="10" t="s">
        <v>38</v>
      </c>
      <c r="F14" s="10" t="s">
        <v>39</v>
      </c>
      <c r="G14" s="10" t="s">
        <v>40</v>
      </c>
      <c r="H14" s="29"/>
      <c r="I14" s="49" t="s">
        <v>33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2">
        <v>1.0</v>
      </c>
      <c r="B15" s="13" t="s">
        <v>21</v>
      </c>
      <c r="C15" s="14" t="s">
        <v>22</v>
      </c>
      <c r="D15" s="53">
        <v>340000.0</v>
      </c>
      <c r="E15" s="54">
        <v>105000.0</v>
      </c>
      <c r="F15" s="54">
        <v>100000.0</v>
      </c>
      <c r="G15" s="43"/>
      <c r="H15" s="19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55">
        <v>2.0</v>
      </c>
      <c r="B16" s="13"/>
      <c r="C16" s="14"/>
      <c r="D16" s="53"/>
      <c r="E16" s="54"/>
      <c r="F16" s="54"/>
      <c r="G16" s="56"/>
      <c r="H16" s="19"/>
      <c r="I16" s="19"/>
      <c r="J16" s="4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55">
        <v>3.0</v>
      </c>
      <c r="G17" s="45"/>
      <c r="H17" s="19"/>
      <c r="I17" s="19"/>
      <c r="J17" s="4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57">
        <v>4.0</v>
      </c>
      <c r="B18" s="43"/>
      <c r="C18" s="44"/>
      <c r="D18" s="58"/>
      <c r="E18" s="43"/>
      <c r="F18" s="43"/>
      <c r="G18" s="43"/>
      <c r="H18" s="19"/>
      <c r="I18" s="19"/>
      <c r="J18" s="4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4"/>
      <c r="B19" s="43"/>
      <c r="C19" s="44"/>
      <c r="D19" s="58"/>
      <c r="E19" s="43"/>
      <c r="F19" s="43"/>
      <c r="G19" s="45"/>
      <c r="H19" s="19"/>
      <c r="I19" s="19"/>
      <c r="J19" s="41"/>
      <c r="K19" s="3"/>
      <c r="L19" s="7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27"/>
      <c r="C20" s="59"/>
      <c r="D20" s="31">
        <f t="shared" ref="D20:F20" si="2">SUM(D15:D19)</f>
        <v>340000</v>
      </c>
      <c r="E20" s="31">
        <f t="shared" si="2"/>
        <v>105000</v>
      </c>
      <c r="F20" s="60">
        <f t="shared" si="2"/>
        <v>100000</v>
      </c>
      <c r="G20" s="61">
        <f>D20+E20+F20</f>
        <v>545000</v>
      </c>
      <c r="H20" s="62"/>
      <c r="I20" s="63"/>
      <c r="J20" s="3"/>
      <c r="K20" s="7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1" t="s">
        <v>42</v>
      </c>
      <c r="B21" s="2"/>
      <c r="C21" s="2"/>
      <c r="D21" s="2"/>
      <c r="E21" s="2"/>
      <c r="F21" s="2"/>
      <c r="G21" s="2"/>
      <c r="H21" s="2"/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6" t="s">
        <v>5</v>
      </c>
      <c r="B22" s="64" t="s">
        <v>43</v>
      </c>
      <c r="C22" s="65"/>
      <c r="D22" s="66"/>
      <c r="E22" s="67" t="s">
        <v>45</v>
      </c>
      <c r="F22" s="68" t="s">
        <v>46</v>
      </c>
      <c r="G22" s="67" t="s">
        <v>47</v>
      </c>
      <c r="H22" s="69"/>
      <c r="I22" s="70" t="s">
        <v>33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2"/>
      <c r="B23" s="72" t="s">
        <v>55</v>
      </c>
      <c r="C23" s="2"/>
      <c r="D23" s="73"/>
      <c r="E23" s="74">
        <v>2000000.0</v>
      </c>
      <c r="F23" s="42"/>
      <c r="G23" s="42"/>
      <c r="H23" s="42"/>
      <c r="I23" s="42"/>
      <c r="J23" s="4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2"/>
      <c r="F24" s="42"/>
      <c r="G24" s="42"/>
      <c r="H24" s="42"/>
      <c r="I24" s="42"/>
      <c r="J24" s="4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75"/>
      <c r="C25" s="2"/>
      <c r="D25" s="73"/>
      <c r="E25" s="76"/>
      <c r="F25" s="77"/>
      <c r="G25" s="77"/>
      <c r="H25" s="77"/>
      <c r="I25" s="78"/>
      <c r="J25" s="4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0"/>
      <c r="B26" s="27"/>
      <c r="C26" s="79"/>
      <c r="D26" s="59"/>
      <c r="E26" s="60">
        <f>SUM(E23:E25)</f>
        <v>2000000</v>
      </c>
      <c r="F26" s="80"/>
      <c r="G26" s="80"/>
      <c r="H26" s="62"/>
      <c r="I26" s="6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51" t="s">
        <v>50</v>
      </c>
      <c r="B27" s="2"/>
      <c r="C27" s="2"/>
      <c r="D27" s="2"/>
      <c r="E27" s="2"/>
      <c r="F27" s="2"/>
      <c r="G27" s="2"/>
      <c r="H27" s="2"/>
      <c r="I27" s="5"/>
      <c r="J27" s="8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8" t="s">
        <v>5</v>
      </c>
      <c r="B28" s="82" t="s">
        <v>43</v>
      </c>
      <c r="C28" s="79"/>
      <c r="D28" s="59"/>
      <c r="E28" s="83" t="s">
        <v>51</v>
      </c>
      <c r="F28" s="83" t="s">
        <v>12</v>
      </c>
      <c r="G28" s="10" t="s">
        <v>52</v>
      </c>
      <c r="H28" s="30"/>
      <c r="I28" s="7" t="s">
        <v>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4"/>
      <c r="B29" s="72" t="s">
        <v>66</v>
      </c>
      <c r="C29" s="2"/>
      <c r="D29" s="73"/>
      <c r="E29" s="101">
        <v>264000.0</v>
      </c>
      <c r="F29" s="19"/>
      <c r="G29" s="19"/>
      <c r="H29" s="19"/>
      <c r="I29" s="1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4"/>
      <c r="B30" s="104" t="s">
        <v>67</v>
      </c>
      <c r="C30" s="2"/>
      <c r="D30" s="73"/>
      <c r="E30" s="105">
        <v>61000.0</v>
      </c>
      <c r="F30" s="19"/>
      <c r="G30" s="19"/>
      <c r="H30" s="19"/>
      <c r="I30" s="1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4"/>
      <c r="B31" s="108" t="s">
        <v>70</v>
      </c>
      <c r="C31" s="87"/>
      <c r="D31" s="88"/>
      <c r="E31" s="109">
        <v>2000000.0</v>
      </c>
      <c r="F31" s="19"/>
      <c r="G31" s="19"/>
      <c r="H31" s="19"/>
      <c r="I31" s="1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89"/>
      <c r="B32" s="90"/>
      <c r="C32" s="90"/>
      <c r="D32" s="91"/>
      <c r="E32" s="92">
        <f>SUM(E29:E31)</f>
        <v>2325000</v>
      </c>
      <c r="F32" s="93">
        <f>SUM(F29:F30)</f>
        <v>0</v>
      </c>
      <c r="G32" s="94"/>
      <c r="H32" s="94"/>
      <c r="I32" s="9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95" t="s">
        <v>58</v>
      </c>
      <c r="B33" s="96"/>
      <c r="C33" s="95" t="s">
        <v>59</v>
      </c>
      <c r="D33" s="95" t="s">
        <v>60</v>
      </c>
      <c r="E33" s="96"/>
      <c r="F33" s="96"/>
      <c r="G33" s="95" t="s">
        <v>10</v>
      </c>
      <c r="H33" s="95" t="s">
        <v>12</v>
      </c>
      <c r="I33" s="95" t="s">
        <v>11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97" t="s">
        <v>61</v>
      </c>
      <c r="B34" s="78"/>
      <c r="C34" s="98">
        <f>F7</f>
        <v>870000</v>
      </c>
      <c r="D34" s="96"/>
      <c r="E34" s="99" t="s">
        <v>62</v>
      </c>
      <c r="F34" s="73"/>
      <c r="G34" s="100" t="str">
        <f>C36</f>
        <v/>
      </c>
      <c r="H34" s="100"/>
      <c r="I34" s="9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97" t="s">
        <v>63</v>
      </c>
      <c r="B35" s="78"/>
      <c r="C35" s="98">
        <f>E12</f>
        <v>0</v>
      </c>
      <c r="D35" s="96"/>
      <c r="E35" s="99" t="s">
        <v>65</v>
      </c>
      <c r="F35" s="73"/>
      <c r="G35" s="102">
        <f>C39-C36</f>
        <v>0</v>
      </c>
      <c r="H35" s="102">
        <f>H7+D12</f>
        <v>0</v>
      </c>
      <c r="I35" s="98">
        <f>G7</f>
        <v>0</v>
      </c>
      <c r="J35" s="103">
        <f>I35+H35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97" t="s">
        <v>68</v>
      </c>
      <c r="B36" s="78"/>
      <c r="C36" s="106"/>
      <c r="D36" s="96"/>
      <c r="E36" s="96"/>
      <c r="F36" s="96"/>
      <c r="G36" s="96"/>
      <c r="H36" s="96"/>
      <c r="I36" s="9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97" t="s">
        <v>69</v>
      </c>
      <c r="B37" s="78"/>
      <c r="C37" s="98">
        <f>E26</f>
        <v>2000000</v>
      </c>
      <c r="D37" s="96"/>
      <c r="E37" s="107" t="s">
        <v>71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97" t="s">
        <v>72</v>
      </c>
      <c r="B38" s="78"/>
      <c r="C38" s="98">
        <f>E32+G20</f>
        <v>2870000</v>
      </c>
      <c r="D38" s="95">
        <f>F32</f>
        <v>0</v>
      </c>
      <c r="E38" s="110"/>
      <c r="F38" s="81"/>
      <c r="G38" s="81"/>
      <c r="H38" s="3"/>
      <c r="I38" s="111" t="s">
        <v>73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12" t="s">
        <v>74</v>
      </c>
      <c r="B39" s="73"/>
      <c r="C39" s="113">
        <f>C34+C35+C36+C37-C38</f>
        <v>0</v>
      </c>
      <c r="D39" s="96"/>
      <c r="E39" s="114" t="s">
        <v>75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8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50" t="s">
        <v>73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81">
        <f>G20+'06'!G20+'06'!E30+'06'!E31+'06'!E32+'06'!E33+'06'!E34</f>
        <v>1891000</v>
      </c>
      <c r="M42" s="81">
        <f>L42-G20</f>
        <v>1346000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8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8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6">
    <mergeCell ref="A1:I1"/>
    <mergeCell ref="A2:I2"/>
    <mergeCell ref="A8:I8"/>
    <mergeCell ref="A13:I13"/>
    <mergeCell ref="A21:I21"/>
    <mergeCell ref="B23:D23"/>
    <mergeCell ref="A27:I27"/>
    <mergeCell ref="A39:B39"/>
    <mergeCell ref="E39:I39"/>
    <mergeCell ref="B25:D25"/>
    <mergeCell ref="B29:D29"/>
    <mergeCell ref="B30:D30"/>
    <mergeCell ref="B31:D31"/>
    <mergeCell ref="E34:F34"/>
    <mergeCell ref="E35:F35"/>
    <mergeCell ref="E37:I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20.38"/>
    <col customWidth="1" min="9" max="9" width="19.0"/>
  </cols>
  <sheetData>
    <row r="1">
      <c r="A1" s="1" t="s">
        <v>76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2"/>
      <c r="C2" s="2"/>
      <c r="D2" s="2"/>
      <c r="E2" s="2"/>
      <c r="F2" s="2"/>
      <c r="G2" s="2"/>
      <c r="H2" s="2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5</v>
      </c>
      <c r="B3" s="7" t="s">
        <v>6</v>
      </c>
      <c r="C3" s="8" t="s">
        <v>7</v>
      </c>
      <c r="D3" s="9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1" t="s">
        <v>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2">
        <v>1.0</v>
      </c>
      <c r="B4" s="13"/>
      <c r="C4" s="14"/>
      <c r="D4" s="15"/>
      <c r="E4" s="24"/>
      <c r="F4" s="17"/>
      <c r="G4" s="18"/>
      <c r="H4" s="20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2">
        <v>2.0</v>
      </c>
      <c r="B5" s="13"/>
      <c r="C5" s="14"/>
      <c r="D5" s="21"/>
      <c r="E5" s="22"/>
      <c r="F5" s="20"/>
      <c r="G5" s="20"/>
      <c r="H5" s="23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2">
        <v>3.0</v>
      </c>
      <c r="B6" s="13"/>
      <c r="C6" s="14"/>
      <c r="D6" s="25"/>
      <c r="E6" s="20"/>
      <c r="F6" s="19"/>
      <c r="G6" s="20"/>
      <c r="H6" s="23"/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7"/>
      <c r="B7" s="29"/>
      <c r="C7" s="30"/>
      <c r="D7" s="30"/>
      <c r="E7" s="30"/>
      <c r="F7" s="31">
        <f t="shared" ref="F7:H7" si="1">SUM(F4:F6)</f>
        <v>0</v>
      </c>
      <c r="G7" s="31">
        <f t="shared" si="1"/>
        <v>0</v>
      </c>
      <c r="H7" s="31">
        <f t="shared" si="1"/>
        <v>0</v>
      </c>
      <c r="I7" s="31">
        <f>F7+G7</f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29</v>
      </c>
      <c r="B8" s="2"/>
      <c r="C8" s="2"/>
      <c r="D8" s="2"/>
      <c r="E8" s="2"/>
      <c r="F8" s="2"/>
      <c r="G8" s="2"/>
      <c r="H8" s="2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8" t="s">
        <v>5</v>
      </c>
      <c r="B9" s="7" t="s">
        <v>6</v>
      </c>
      <c r="C9" s="8" t="s">
        <v>7</v>
      </c>
      <c r="D9" s="32" t="s">
        <v>30</v>
      </c>
      <c r="E9" s="10" t="s">
        <v>10</v>
      </c>
      <c r="F9" s="33" t="s">
        <v>31</v>
      </c>
      <c r="G9" s="10" t="s">
        <v>32</v>
      </c>
      <c r="H9" s="29"/>
      <c r="I9" s="10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4">
        <v>1.0</v>
      </c>
      <c r="B10" s="35"/>
      <c r="C10" s="36"/>
      <c r="D10" s="37"/>
      <c r="E10" s="38"/>
      <c r="F10" s="21"/>
      <c r="G10" s="19"/>
      <c r="H10" s="39"/>
      <c r="I10" s="40"/>
      <c r="J10" s="4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2"/>
      <c r="B11" s="43"/>
      <c r="C11" s="44"/>
      <c r="D11" s="45"/>
      <c r="E11" s="19"/>
      <c r="F11" s="19"/>
      <c r="G11" s="19"/>
      <c r="H11" s="39"/>
      <c r="I11" s="40"/>
      <c r="J11" s="4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7"/>
      <c r="B12" s="48"/>
      <c r="C12" s="29"/>
      <c r="D12" s="49"/>
      <c r="E12" s="49">
        <f>SUM(E10:E11)</f>
        <v>0</v>
      </c>
      <c r="F12" s="29"/>
      <c r="G12" s="29"/>
      <c r="H12" s="29"/>
      <c r="I12" s="2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50">
        <f>6+3+6+2+3+5+16+14+4</f>
        <v>59</v>
      </c>
      <c r="X12" s="3"/>
      <c r="Y12" s="3"/>
      <c r="Z12" s="3"/>
      <c r="AA12" s="3"/>
    </row>
    <row r="13">
      <c r="A13" s="51" t="s">
        <v>36</v>
      </c>
      <c r="B13" s="2"/>
      <c r="C13" s="2"/>
      <c r="D13" s="2"/>
      <c r="E13" s="2"/>
      <c r="F13" s="2"/>
      <c r="G13" s="2"/>
      <c r="H13" s="2"/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8" t="s">
        <v>5</v>
      </c>
      <c r="B14" s="7" t="s">
        <v>6</v>
      </c>
      <c r="C14" s="8" t="s">
        <v>7</v>
      </c>
      <c r="D14" s="32" t="s">
        <v>37</v>
      </c>
      <c r="E14" s="10" t="s">
        <v>38</v>
      </c>
      <c r="F14" s="10" t="s">
        <v>39</v>
      </c>
      <c r="G14" s="10" t="s">
        <v>40</v>
      </c>
      <c r="H14" s="29"/>
      <c r="I14" s="49" t="s">
        <v>33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2">
        <v>1.0</v>
      </c>
      <c r="B15" s="13"/>
      <c r="C15" s="14"/>
      <c r="D15" s="53"/>
      <c r="E15" s="54"/>
      <c r="F15" s="54"/>
      <c r="G15" s="43"/>
      <c r="H15" s="19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55">
        <v>2.0</v>
      </c>
      <c r="B16" s="13"/>
      <c r="C16" s="14"/>
      <c r="D16" s="53"/>
      <c r="E16" s="54"/>
      <c r="F16" s="54"/>
      <c r="G16" s="56"/>
      <c r="H16" s="19"/>
      <c r="I16" s="19"/>
      <c r="J16" s="4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55">
        <v>3.0</v>
      </c>
      <c r="G17" s="45"/>
      <c r="H17" s="19"/>
      <c r="I17" s="19"/>
      <c r="J17" s="4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57">
        <v>4.0</v>
      </c>
      <c r="B18" s="43"/>
      <c r="C18" s="44"/>
      <c r="D18" s="58"/>
      <c r="E18" s="43"/>
      <c r="F18" s="43"/>
      <c r="G18" s="43"/>
      <c r="H18" s="19"/>
      <c r="I18" s="19"/>
      <c r="J18" s="4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4"/>
      <c r="B19" s="43"/>
      <c r="C19" s="44"/>
      <c r="D19" s="58"/>
      <c r="E19" s="43"/>
      <c r="F19" s="43"/>
      <c r="G19" s="45"/>
      <c r="H19" s="19"/>
      <c r="I19" s="19"/>
      <c r="J19" s="4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27"/>
      <c r="C20" s="59"/>
      <c r="D20" s="31">
        <f t="shared" ref="D20:F20" si="2">SUM(D15:D19)</f>
        <v>0</v>
      </c>
      <c r="E20" s="31">
        <f t="shared" si="2"/>
        <v>0</v>
      </c>
      <c r="F20" s="60">
        <f t="shared" si="2"/>
        <v>0</v>
      </c>
      <c r="G20" s="61">
        <f>D20+E20+F20</f>
        <v>0</v>
      </c>
      <c r="H20" s="62"/>
      <c r="I20" s="6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1" t="s">
        <v>42</v>
      </c>
      <c r="B21" s="2"/>
      <c r="C21" s="2"/>
      <c r="D21" s="2"/>
      <c r="E21" s="2"/>
      <c r="F21" s="2"/>
      <c r="G21" s="2"/>
      <c r="H21" s="2"/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6" t="s">
        <v>5</v>
      </c>
      <c r="B22" s="64" t="s">
        <v>43</v>
      </c>
      <c r="C22" s="65"/>
      <c r="D22" s="66"/>
      <c r="E22" s="67" t="s">
        <v>45</v>
      </c>
      <c r="F22" s="68" t="s">
        <v>46</v>
      </c>
      <c r="G22" s="67" t="s">
        <v>47</v>
      </c>
      <c r="H22" s="69"/>
      <c r="I22" s="70" t="s">
        <v>33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2"/>
      <c r="B23" s="72" t="s">
        <v>77</v>
      </c>
      <c r="C23" s="2"/>
      <c r="D23" s="73"/>
      <c r="E23" s="101">
        <v>264000.0</v>
      </c>
      <c r="F23" s="42"/>
      <c r="G23" s="42"/>
      <c r="H23" s="42"/>
      <c r="I23" s="42"/>
      <c r="J23" s="4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2"/>
      <c r="F24" s="42"/>
      <c r="G24" s="42"/>
      <c r="H24" s="42"/>
      <c r="I24" s="42"/>
      <c r="J24" s="4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75"/>
      <c r="C25" s="2"/>
      <c r="D25" s="73"/>
      <c r="E25" s="76"/>
      <c r="F25" s="77"/>
      <c r="G25" s="77"/>
      <c r="H25" s="77"/>
      <c r="I25" s="78"/>
      <c r="J25" s="4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0"/>
      <c r="B26" s="27"/>
      <c r="C26" s="79"/>
      <c r="D26" s="59"/>
      <c r="E26" s="60">
        <f>SUM(E23:E25)</f>
        <v>264000</v>
      </c>
      <c r="F26" s="80"/>
      <c r="G26" s="80"/>
      <c r="H26" s="62"/>
      <c r="I26" s="6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51" t="s">
        <v>50</v>
      </c>
      <c r="B27" s="2"/>
      <c r="C27" s="2"/>
      <c r="D27" s="2"/>
      <c r="E27" s="2"/>
      <c r="F27" s="2"/>
      <c r="G27" s="2"/>
      <c r="H27" s="2"/>
      <c r="I27" s="5"/>
      <c r="J27" s="8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8" t="s">
        <v>5</v>
      </c>
      <c r="B28" s="82" t="s">
        <v>43</v>
      </c>
      <c r="C28" s="79"/>
      <c r="D28" s="59"/>
      <c r="E28" s="83" t="s">
        <v>51</v>
      </c>
      <c r="F28" s="83" t="s">
        <v>12</v>
      </c>
      <c r="G28" s="10" t="s">
        <v>52</v>
      </c>
      <c r="H28" s="30"/>
      <c r="I28" s="7" t="s">
        <v>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4"/>
      <c r="B29" s="72" t="s">
        <v>78</v>
      </c>
      <c r="C29" s="2"/>
      <c r="D29" s="73"/>
      <c r="E29" s="101">
        <v>264000.0</v>
      </c>
      <c r="F29" s="19"/>
      <c r="G29" s="19"/>
      <c r="H29" s="19"/>
      <c r="I29" s="1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4"/>
      <c r="B30" s="104"/>
      <c r="C30" s="2"/>
      <c r="D30" s="73"/>
      <c r="E30" s="105"/>
      <c r="F30" s="19"/>
      <c r="G30" s="19"/>
      <c r="H30" s="19"/>
      <c r="I30" s="1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4"/>
      <c r="B31" s="115"/>
      <c r="C31" s="2"/>
      <c r="D31" s="73"/>
      <c r="E31" s="109"/>
      <c r="F31" s="19"/>
      <c r="G31" s="19"/>
      <c r="H31" s="19"/>
      <c r="I31" s="1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16"/>
      <c r="B32" s="115"/>
      <c r="C32" s="2"/>
      <c r="D32" s="73"/>
      <c r="E32" s="109"/>
      <c r="F32" s="19"/>
      <c r="G32" s="117"/>
      <c r="H32" s="117"/>
      <c r="I32" s="11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16"/>
      <c r="B33" s="108"/>
      <c r="C33" s="87"/>
      <c r="D33" s="88"/>
      <c r="E33" s="118"/>
      <c r="F33" s="117"/>
      <c r="G33" s="117"/>
      <c r="H33" s="117"/>
      <c r="I33" s="11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89"/>
      <c r="B34" s="90"/>
      <c r="C34" s="90"/>
      <c r="D34" s="91"/>
      <c r="E34" s="92">
        <f>SUM(E29:E33)</f>
        <v>264000</v>
      </c>
      <c r="F34" s="93">
        <f>SUM(F29:F30)</f>
        <v>0</v>
      </c>
      <c r="G34" s="94"/>
      <c r="H34" s="94"/>
      <c r="I34" s="9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95" t="s">
        <v>58</v>
      </c>
      <c r="B35" s="96"/>
      <c r="C35" s="95" t="s">
        <v>59</v>
      </c>
      <c r="D35" s="95" t="s">
        <v>60</v>
      </c>
      <c r="E35" s="96"/>
      <c r="F35" s="96"/>
      <c r="G35" s="95" t="s">
        <v>10</v>
      </c>
      <c r="H35" s="95" t="s">
        <v>12</v>
      </c>
      <c r="I35" s="95" t="s">
        <v>11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97" t="s">
        <v>61</v>
      </c>
      <c r="B36" s="78"/>
      <c r="C36" s="98">
        <f>F7</f>
        <v>0</v>
      </c>
      <c r="D36" s="96"/>
      <c r="E36" s="99" t="s">
        <v>62</v>
      </c>
      <c r="F36" s="73"/>
      <c r="G36" s="100">
        <f>C38</f>
        <v>190000</v>
      </c>
      <c r="H36" s="100"/>
      <c r="I36" s="9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97" t="s">
        <v>63</v>
      </c>
      <c r="B37" s="78"/>
      <c r="C37" s="98">
        <f>E12</f>
        <v>0</v>
      </c>
      <c r="D37" s="96"/>
      <c r="E37" s="99" t="s">
        <v>65</v>
      </c>
      <c r="F37" s="73"/>
      <c r="G37" s="102">
        <f>C41-C38</f>
        <v>0</v>
      </c>
      <c r="H37" s="102">
        <f>H7+D12</f>
        <v>0</v>
      </c>
      <c r="I37" s="98">
        <f>G7</f>
        <v>0</v>
      </c>
      <c r="J37" s="103">
        <f>I37+H37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97" t="s">
        <v>68</v>
      </c>
      <c r="B38" s="78"/>
      <c r="C38" s="106">
        <f>60000+70000+60000</f>
        <v>190000</v>
      </c>
      <c r="D38" s="96"/>
      <c r="E38" s="96"/>
      <c r="F38" s="96"/>
      <c r="G38" s="96"/>
      <c r="H38" s="96"/>
      <c r="I38" s="9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97" t="s">
        <v>69</v>
      </c>
      <c r="B39" s="78"/>
      <c r="C39" s="98">
        <f>E26</f>
        <v>264000</v>
      </c>
      <c r="D39" s="96"/>
      <c r="E39" s="107" t="s">
        <v>71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97" t="s">
        <v>72</v>
      </c>
      <c r="B40" s="78"/>
      <c r="C40" s="98">
        <f>E34+G20</f>
        <v>264000</v>
      </c>
      <c r="D40" s="95">
        <f>F34</f>
        <v>0</v>
      </c>
      <c r="E40" s="110"/>
      <c r="F40" s="81"/>
      <c r="G40" s="81"/>
      <c r="H40" s="3"/>
      <c r="I40" s="111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12" t="s">
        <v>74</v>
      </c>
      <c r="B41" s="73"/>
      <c r="C41" s="113">
        <f>C36+C37+C38+C39-C40</f>
        <v>190000</v>
      </c>
      <c r="D41" s="96"/>
      <c r="E41" s="114" t="s">
        <v>75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8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50" t="s">
        <v>73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8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8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mergeCells count="18">
    <mergeCell ref="A1:I1"/>
    <mergeCell ref="A2:I2"/>
    <mergeCell ref="A8:I8"/>
    <mergeCell ref="A13:I13"/>
    <mergeCell ref="A21:I21"/>
    <mergeCell ref="B23:D23"/>
    <mergeCell ref="A27:I27"/>
    <mergeCell ref="E37:F37"/>
    <mergeCell ref="E39:I39"/>
    <mergeCell ref="A41:B41"/>
    <mergeCell ref="E41:I41"/>
    <mergeCell ref="B25:D25"/>
    <mergeCell ref="B29:D29"/>
    <mergeCell ref="B30:D30"/>
    <mergeCell ref="B31:D31"/>
    <mergeCell ref="B32:D32"/>
    <mergeCell ref="B33:D33"/>
    <mergeCell ref="E36:F3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20.38"/>
    <col customWidth="1" min="9" max="9" width="19.0"/>
  </cols>
  <sheetData>
    <row r="1">
      <c r="A1" s="1" t="s">
        <v>79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4</v>
      </c>
      <c r="B2" s="2"/>
      <c r="C2" s="2"/>
      <c r="D2" s="2"/>
      <c r="E2" s="2"/>
      <c r="F2" s="2"/>
      <c r="G2" s="2"/>
      <c r="H2" s="2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5</v>
      </c>
      <c r="B3" s="7" t="s">
        <v>6</v>
      </c>
      <c r="C3" s="8" t="s">
        <v>7</v>
      </c>
      <c r="D3" s="9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1" t="s">
        <v>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2">
        <v>1.0</v>
      </c>
      <c r="B4" s="13" t="s">
        <v>80</v>
      </c>
      <c r="C4" s="14" t="s">
        <v>81</v>
      </c>
      <c r="D4" s="15"/>
      <c r="E4" s="119">
        <v>2.205E7</v>
      </c>
      <c r="F4" s="120">
        <v>1000000.0</v>
      </c>
      <c r="G4" s="18"/>
      <c r="H4" s="20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2">
        <v>2.0</v>
      </c>
      <c r="B5" s="13" t="s">
        <v>82</v>
      </c>
      <c r="C5" s="14" t="s">
        <v>83</v>
      </c>
      <c r="D5" s="21"/>
      <c r="E5" s="22"/>
      <c r="F5" s="20"/>
      <c r="G5" s="121">
        <v>1.42E7</v>
      </c>
      <c r="H5" s="122">
        <v>800000.0</v>
      </c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2">
        <v>3.0</v>
      </c>
      <c r="B6" s="13" t="s">
        <v>84</v>
      </c>
      <c r="C6" s="14" t="s">
        <v>17</v>
      </c>
      <c r="D6" s="25"/>
      <c r="E6" s="20"/>
      <c r="F6" s="19"/>
      <c r="G6" s="20">
        <v>1.45E7</v>
      </c>
      <c r="H6" s="23">
        <v>800000.0</v>
      </c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7"/>
      <c r="B7" s="29"/>
      <c r="C7" s="30"/>
      <c r="D7" s="30"/>
      <c r="E7" s="30"/>
      <c r="F7" s="31">
        <f t="shared" ref="F7:H7" si="1">SUM(F4:F6)</f>
        <v>1000000</v>
      </c>
      <c r="G7" s="31">
        <f t="shared" si="1"/>
        <v>28700000</v>
      </c>
      <c r="H7" s="31">
        <f t="shared" si="1"/>
        <v>1600000</v>
      </c>
      <c r="I7" s="31">
        <f>F7+G7</f>
        <v>29700000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29</v>
      </c>
      <c r="B8" s="2"/>
      <c r="C8" s="2"/>
      <c r="D8" s="2"/>
      <c r="E8" s="2"/>
      <c r="F8" s="2"/>
      <c r="G8" s="2"/>
      <c r="H8" s="2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8" t="s">
        <v>5</v>
      </c>
      <c r="B9" s="7" t="s">
        <v>6</v>
      </c>
      <c r="C9" s="8" t="s">
        <v>7</v>
      </c>
      <c r="D9" s="32" t="s">
        <v>30</v>
      </c>
      <c r="E9" s="10" t="s">
        <v>10</v>
      </c>
      <c r="F9" s="33" t="s">
        <v>31</v>
      </c>
      <c r="G9" s="10" t="s">
        <v>32</v>
      </c>
      <c r="H9" s="29"/>
      <c r="I9" s="10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4">
        <v>1.0</v>
      </c>
      <c r="B10" s="13"/>
      <c r="C10" s="14"/>
      <c r="D10" s="37"/>
      <c r="E10" s="38"/>
      <c r="F10" s="21"/>
      <c r="G10" s="19"/>
      <c r="H10" s="39"/>
      <c r="I10" s="40"/>
      <c r="J10" s="4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2"/>
      <c r="B11" s="43"/>
      <c r="C11" s="44"/>
      <c r="D11" s="45"/>
      <c r="E11" s="19"/>
      <c r="F11" s="19"/>
      <c r="G11" s="19"/>
      <c r="H11" s="39"/>
      <c r="I11" s="40"/>
      <c r="J11" s="4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7"/>
      <c r="B12" s="48"/>
      <c r="C12" s="29"/>
      <c r="D12" s="49"/>
      <c r="E12" s="49">
        <f>SUM(E10:E11)</f>
        <v>0</v>
      </c>
      <c r="F12" s="29"/>
      <c r="G12" s="29"/>
      <c r="H12" s="29"/>
      <c r="I12" s="2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50">
        <f>6+3+6+2+3+5+16+14+4</f>
        <v>59</v>
      </c>
      <c r="X12" s="3"/>
      <c r="Y12" s="3"/>
      <c r="Z12" s="3"/>
      <c r="AA12" s="3"/>
    </row>
    <row r="13">
      <c r="A13" s="51" t="s">
        <v>36</v>
      </c>
      <c r="B13" s="2"/>
      <c r="C13" s="2"/>
      <c r="D13" s="2"/>
      <c r="E13" s="2"/>
      <c r="F13" s="2"/>
      <c r="G13" s="2"/>
      <c r="H13" s="2"/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8" t="s">
        <v>5</v>
      </c>
      <c r="B14" s="7" t="s">
        <v>6</v>
      </c>
      <c r="C14" s="8" t="s">
        <v>7</v>
      </c>
      <c r="D14" s="32" t="s">
        <v>37</v>
      </c>
      <c r="E14" s="10" t="s">
        <v>38</v>
      </c>
      <c r="F14" s="10" t="s">
        <v>39</v>
      </c>
      <c r="G14" s="10" t="s">
        <v>40</v>
      </c>
      <c r="H14" s="29"/>
      <c r="I14" s="49" t="s">
        <v>33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2">
        <v>1.0</v>
      </c>
      <c r="B15" s="13" t="s">
        <v>80</v>
      </c>
      <c r="C15" s="14" t="s">
        <v>81</v>
      </c>
      <c r="D15" s="125">
        <v>480000.0</v>
      </c>
      <c r="E15" s="54">
        <v>105000.0</v>
      </c>
      <c r="F15" s="54">
        <v>100000.0</v>
      </c>
      <c r="G15" s="43"/>
      <c r="H15" s="19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55">
        <v>2.0</v>
      </c>
      <c r="B16" s="128"/>
      <c r="C16" s="14"/>
      <c r="D16" s="129"/>
      <c r="E16" s="130"/>
      <c r="F16" s="130"/>
      <c r="G16" s="56"/>
      <c r="H16" s="19"/>
      <c r="I16" s="19"/>
      <c r="J16" s="4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55">
        <v>3.0</v>
      </c>
      <c r="B17" s="131"/>
      <c r="C17" s="131"/>
      <c r="D17" s="131"/>
      <c r="E17" s="131"/>
      <c r="F17" s="131"/>
      <c r="G17" s="45"/>
      <c r="H17" s="19"/>
      <c r="I17" s="19"/>
      <c r="J17" s="4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57">
        <v>4.0</v>
      </c>
      <c r="B18" s="43"/>
      <c r="C18" s="44"/>
      <c r="D18" s="58"/>
      <c r="E18" s="43"/>
      <c r="F18" s="43"/>
      <c r="G18" s="43"/>
      <c r="H18" s="19"/>
      <c r="I18" s="19"/>
      <c r="J18" s="4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4"/>
      <c r="B19" s="43"/>
      <c r="C19" s="44"/>
      <c r="D19" s="58"/>
      <c r="E19" s="43"/>
      <c r="F19" s="43"/>
      <c r="G19" s="45"/>
      <c r="H19" s="19"/>
      <c r="I19" s="19"/>
      <c r="J19" s="4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27"/>
      <c r="C20" s="59"/>
      <c r="D20" s="31">
        <f t="shared" ref="D20:F20" si="2">SUM(D15:D19)</f>
        <v>480000</v>
      </c>
      <c r="E20" s="31">
        <f t="shared" si="2"/>
        <v>105000</v>
      </c>
      <c r="F20" s="60">
        <f t="shared" si="2"/>
        <v>100000</v>
      </c>
      <c r="G20" s="61">
        <f>D20+E20+F20</f>
        <v>685000</v>
      </c>
      <c r="H20" s="62"/>
      <c r="I20" s="6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1" t="s">
        <v>42</v>
      </c>
      <c r="B21" s="2"/>
      <c r="C21" s="2"/>
      <c r="D21" s="2"/>
      <c r="E21" s="2"/>
      <c r="F21" s="2"/>
      <c r="G21" s="2"/>
      <c r="H21" s="2"/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6" t="s">
        <v>5</v>
      </c>
      <c r="B22" s="64" t="s">
        <v>43</v>
      </c>
      <c r="C22" s="65"/>
      <c r="D22" s="66"/>
      <c r="E22" s="67" t="s">
        <v>45</v>
      </c>
      <c r="F22" s="68" t="s">
        <v>46</v>
      </c>
      <c r="G22" s="67" t="s">
        <v>47</v>
      </c>
      <c r="H22" s="69"/>
      <c r="I22" s="70" t="s">
        <v>33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2"/>
      <c r="B23" s="72" t="s">
        <v>92</v>
      </c>
      <c r="C23" s="2"/>
      <c r="D23" s="73"/>
      <c r="E23" s="101">
        <v>264000.0</v>
      </c>
      <c r="F23" s="42"/>
      <c r="G23" s="42"/>
      <c r="H23" s="42"/>
      <c r="I23" s="42"/>
      <c r="J23" s="4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2"/>
      <c r="F24" s="42"/>
      <c r="G24" s="42"/>
      <c r="H24" s="42"/>
      <c r="I24" s="42"/>
      <c r="J24" s="4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75"/>
      <c r="C25" s="2"/>
      <c r="D25" s="73"/>
      <c r="E25" s="76"/>
      <c r="F25" s="77"/>
      <c r="G25" s="77"/>
      <c r="H25" s="77"/>
      <c r="I25" s="78"/>
      <c r="J25" s="4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0"/>
      <c r="B26" s="27"/>
      <c r="C26" s="79"/>
      <c r="D26" s="59"/>
      <c r="E26" s="60">
        <f>SUM(E23:E25)</f>
        <v>264000</v>
      </c>
      <c r="F26" s="80"/>
      <c r="G26" s="80"/>
      <c r="H26" s="62"/>
      <c r="I26" s="6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51" t="s">
        <v>50</v>
      </c>
      <c r="B27" s="2"/>
      <c r="C27" s="2"/>
      <c r="D27" s="2"/>
      <c r="E27" s="2"/>
      <c r="F27" s="2"/>
      <c r="G27" s="2"/>
      <c r="H27" s="2"/>
      <c r="I27" s="5"/>
      <c r="J27" s="8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8" t="s">
        <v>5</v>
      </c>
      <c r="B28" s="82" t="s">
        <v>43</v>
      </c>
      <c r="C28" s="79"/>
      <c r="D28" s="59"/>
      <c r="E28" s="83" t="s">
        <v>51</v>
      </c>
      <c r="F28" s="83" t="s">
        <v>12</v>
      </c>
      <c r="G28" s="10" t="s">
        <v>52</v>
      </c>
      <c r="H28" s="30"/>
      <c r="I28" s="7" t="s">
        <v>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4"/>
      <c r="B29" s="72" t="s">
        <v>97</v>
      </c>
      <c r="C29" s="2"/>
      <c r="D29" s="73"/>
      <c r="E29" s="101">
        <f>E23</f>
        <v>264000</v>
      </c>
      <c r="F29" s="19"/>
      <c r="G29" s="19"/>
      <c r="H29" s="19"/>
      <c r="I29" s="1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4"/>
      <c r="B30" s="104" t="s">
        <v>100</v>
      </c>
      <c r="C30" s="2"/>
      <c r="D30" s="73"/>
      <c r="E30" s="105">
        <v>160000.0</v>
      </c>
      <c r="F30" s="19"/>
      <c r="G30" s="19"/>
      <c r="H30" s="19"/>
      <c r="I30" s="1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4"/>
      <c r="B31" s="115" t="s">
        <v>101</v>
      </c>
      <c r="C31" s="2"/>
      <c r="D31" s="73"/>
      <c r="E31" s="109">
        <v>175000.0</v>
      </c>
      <c r="F31" s="19"/>
      <c r="G31" s="19"/>
      <c r="H31" s="19"/>
      <c r="I31" s="1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16"/>
      <c r="B32" s="115" t="s">
        <v>103</v>
      </c>
      <c r="C32" s="2"/>
      <c r="D32" s="73"/>
      <c r="E32" s="109">
        <v>22000.0</v>
      </c>
      <c r="F32" s="19"/>
      <c r="G32" s="19"/>
      <c r="H32" s="19"/>
      <c r="I32" s="19"/>
      <c r="J32" s="3"/>
      <c r="K32" s="3"/>
      <c r="L32" s="3"/>
      <c r="M32" s="3"/>
      <c r="N32" s="3"/>
      <c r="O32" s="3"/>
      <c r="P32" s="71" t="s">
        <v>105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16"/>
      <c r="B33" s="108" t="s">
        <v>106</v>
      </c>
      <c r="C33" s="87"/>
      <c r="D33" s="88"/>
      <c r="E33" s="109">
        <v>160000.0</v>
      </c>
      <c r="F33" s="19"/>
      <c r="G33" s="19"/>
      <c r="H33" s="19"/>
      <c r="I33" s="19"/>
      <c r="J33" s="3"/>
      <c r="K33" s="3"/>
      <c r="L33" s="3"/>
      <c r="M33" s="3"/>
      <c r="N33" s="3"/>
      <c r="O33" s="3"/>
      <c r="P33" s="81">
        <f>G20+E30+E31+E32+E33+'04'!G20</f>
        <v>1747000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16"/>
      <c r="B34" s="108" t="s">
        <v>108</v>
      </c>
      <c r="C34" s="87"/>
      <c r="D34" s="88"/>
      <c r="E34" s="109">
        <v>144000.0</v>
      </c>
      <c r="F34" s="19"/>
      <c r="G34" s="19"/>
      <c r="H34" s="19"/>
      <c r="I34" s="1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89"/>
      <c r="B35" s="90"/>
      <c r="C35" s="90"/>
      <c r="D35" s="91"/>
      <c r="E35" s="92">
        <f>SUM(E29:E34)</f>
        <v>925000</v>
      </c>
      <c r="F35" s="93">
        <f>SUM(F29:F30)</f>
        <v>0</v>
      </c>
      <c r="G35" s="94"/>
      <c r="H35" s="94"/>
      <c r="I35" s="9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95" t="s">
        <v>58</v>
      </c>
      <c r="B36" s="96"/>
      <c r="C36" s="95" t="s">
        <v>59</v>
      </c>
      <c r="D36" s="95" t="s">
        <v>60</v>
      </c>
      <c r="E36" s="96"/>
      <c r="F36" s="96"/>
      <c r="G36" s="95" t="s">
        <v>10</v>
      </c>
      <c r="H36" s="95" t="s">
        <v>12</v>
      </c>
      <c r="I36" s="95" t="s">
        <v>11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97" t="s">
        <v>61</v>
      </c>
      <c r="B37" s="78"/>
      <c r="C37" s="98">
        <f>F7</f>
        <v>1000000</v>
      </c>
      <c r="D37" s="96"/>
      <c r="E37" s="99" t="s">
        <v>62</v>
      </c>
      <c r="F37" s="73"/>
      <c r="G37" s="100">
        <f>C39</f>
        <v>609000</v>
      </c>
      <c r="H37" s="100"/>
      <c r="I37" s="96">
        <f>D39</f>
        <v>5300000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97" t="s">
        <v>63</v>
      </c>
      <c r="B38" s="78"/>
      <c r="C38" s="149">
        <f>E12</f>
        <v>0</v>
      </c>
      <c r="E38" s="99" t="s">
        <v>65</v>
      </c>
      <c r="F38" s="73"/>
      <c r="G38" s="102">
        <f>C42-C39</f>
        <v>315000</v>
      </c>
      <c r="H38" s="102">
        <f>H7+D12</f>
        <v>1600000</v>
      </c>
      <c r="I38" s="98">
        <f>G7</f>
        <v>28700000</v>
      </c>
      <c r="J38" s="103">
        <f>I38+H38</f>
        <v>30300000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97" t="s">
        <v>68</v>
      </c>
      <c r="B39" s="78"/>
      <c r="C39" s="151">
        <f>1200000-661000+70000</f>
        <v>609000</v>
      </c>
      <c r="D39" s="152">
        <v>5300000.0</v>
      </c>
      <c r="E39" s="96"/>
      <c r="F39" s="96"/>
      <c r="G39" s="96"/>
      <c r="H39" s="96"/>
      <c r="I39" s="9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97" t="s">
        <v>69</v>
      </c>
      <c r="B40" s="78"/>
      <c r="C40" s="98">
        <f>E26</f>
        <v>264000</v>
      </c>
      <c r="D40" s="96"/>
      <c r="E40" s="107" t="s">
        <v>71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97" t="s">
        <v>72</v>
      </c>
      <c r="B41" s="78"/>
      <c r="C41" s="98">
        <f>E35+G20-661000</f>
        <v>949000</v>
      </c>
      <c r="D41" s="95">
        <f>F35</f>
        <v>0</v>
      </c>
      <c r="E41" s="110"/>
      <c r="F41" s="81"/>
      <c r="G41" s="81"/>
      <c r="H41" s="3"/>
      <c r="I41" s="111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12" t="s">
        <v>74</v>
      </c>
      <c r="B42" s="73"/>
      <c r="C42" s="113">
        <f>C37+C39+C38+C40-C41</f>
        <v>924000</v>
      </c>
      <c r="D42" s="96"/>
      <c r="E42" s="114" t="s">
        <v>75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81"/>
      <c r="F43" s="3"/>
      <c r="G43" s="3"/>
      <c r="H43" s="3"/>
      <c r="I43" s="3"/>
      <c r="J43" s="3"/>
      <c r="K43" s="3"/>
      <c r="L43" s="3"/>
      <c r="M43" s="3"/>
      <c r="N43" s="155">
        <v>4235000.0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50" t="s">
        <v>73</v>
      </c>
      <c r="G44" s="3"/>
      <c r="H44" s="3"/>
      <c r="I44" s="3"/>
      <c r="J44" s="157" t="s">
        <v>112</v>
      </c>
      <c r="K44" s="158">
        <v>2564000.0</v>
      </c>
      <c r="L44" s="3"/>
      <c r="M44" s="3"/>
      <c r="N44" s="7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157" t="s">
        <v>114</v>
      </c>
      <c r="K45" s="158">
        <v>3535000.0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162">
        <v>46178.0</v>
      </c>
      <c r="J46" s="157" t="s">
        <v>115</v>
      </c>
      <c r="K46" s="96">
        <f>C42+'05'!C41</f>
        <v>1114000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8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8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</sheetData>
  <mergeCells count="19">
    <mergeCell ref="A1:I1"/>
    <mergeCell ref="A2:I2"/>
    <mergeCell ref="A8:I8"/>
    <mergeCell ref="A13:I13"/>
    <mergeCell ref="A21:I21"/>
    <mergeCell ref="B23:D23"/>
    <mergeCell ref="A27:I27"/>
    <mergeCell ref="E37:F37"/>
    <mergeCell ref="E38:F38"/>
    <mergeCell ref="E40:I40"/>
    <mergeCell ref="A42:B42"/>
    <mergeCell ref="E42:I42"/>
    <mergeCell ref="B25:D25"/>
    <mergeCell ref="B29:D29"/>
    <mergeCell ref="B30:D30"/>
    <mergeCell ref="B31:D31"/>
    <mergeCell ref="B32:D32"/>
    <mergeCell ref="B33:D33"/>
    <mergeCell ref="B34:D3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20.38"/>
    <col customWidth="1" min="9" max="9" width="19.0"/>
  </cols>
  <sheetData>
    <row r="1">
      <c r="A1" s="1" t="s">
        <v>79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4</v>
      </c>
      <c r="B2" s="2"/>
      <c r="C2" s="2"/>
      <c r="D2" s="2"/>
      <c r="E2" s="2"/>
      <c r="F2" s="2"/>
      <c r="G2" s="2"/>
      <c r="H2" s="2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5</v>
      </c>
      <c r="B3" s="7" t="s">
        <v>6</v>
      </c>
      <c r="C3" s="8" t="s">
        <v>7</v>
      </c>
      <c r="D3" s="9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1" t="s">
        <v>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2">
        <v>1.0</v>
      </c>
      <c r="B4" s="13" t="s">
        <v>85</v>
      </c>
      <c r="C4" s="14" t="s">
        <v>86</v>
      </c>
      <c r="D4" s="123">
        <v>1.779E7</v>
      </c>
      <c r="E4" s="119"/>
      <c r="F4" s="120"/>
      <c r="G4" s="18"/>
      <c r="H4" s="121">
        <v>1000000.0</v>
      </c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2">
        <v>2.0</v>
      </c>
      <c r="B5" s="13" t="s">
        <v>87</v>
      </c>
      <c r="C5" s="14" t="s">
        <v>88</v>
      </c>
      <c r="D5" s="124">
        <v>1.43E7</v>
      </c>
      <c r="E5" s="22"/>
      <c r="F5" s="20"/>
      <c r="G5" s="121"/>
      <c r="H5" s="122">
        <v>800000.0</v>
      </c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2">
        <v>3.0</v>
      </c>
      <c r="B6" s="13" t="s">
        <v>87</v>
      </c>
      <c r="C6" s="14" t="s">
        <v>88</v>
      </c>
      <c r="D6" s="124">
        <v>1.43E7</v>
      </c>
      <c r="E6" s="20"/>
      <c r="F6" s="19"/>
      <c r="G6" s="121"/>
      <c r="H6" s="122">
        <v>800000.0</v>
      </c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26">
        <v>4.0</v>
      </c>
      <c r="B7" s="127" t="s">
        <v>89</v>
      </c>
      <c r="C7" s="14" t="s">
        <v>90</v>
      </c>
      <c r="E7" s="122">
        <v>2.205E7</v>
      </c>
      <c r="F7" s="19"/>
      <c r="G7" s="121"/>
      <c r="H7" s="122">
        <v>1000000.0</v>
      </c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27"/>
      <c r="B8" s="29"/>
      <c r="C8" s="30"/>
      <c r="D8" s="30"/>
      <c r="E8" s="30"/>
      <c r="F8" s="31">
        <f t="shared" ref="F8:G8" si="1">SUM(F4:F6)</f>
        <v>0</v>
      </c>
      <c r="G8" s="31">
        <f t="shared" si="1"/>
        <v>0</v>
      </c>
      <c r="H8" s="31">
        <f>SUM(H4:H7)</f>
        <v>3600000</v>
      </c>
      <c r="I8" s="31">
        <f>F8+G8</f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29</v>
      </c>
      <c r="B9" s="2"/>
      <c r="C9" s="2"/>
      <c r="D9" s="2"/>
      <c r="E9" s="2"/>
      <c r="F9" s="2"/>
      <c r="G9" s="2"/>
      <c r="H9" s="2"/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8" t="s">
        <v>5</v>
      </c>
      <c r="B10" s="7" t="s">
        <v>6</v>
      </c>
      <c r="C10" s="8" t="s">
        <v>7</v>
      </c>
      <c r="D10" s="32" t="s">
        <v>30</v>
      </c>
      <c r="E10" s="10" t="s">
        <v>10</v>
      </c>
      <c r="F10" s="33" t="s">
        <v>31</v>
      </c>
      <c r="G10" s="10" t="s">
        <v>32</v>
      </c>
      <c r="H10" s="29"/>
      <c r="I10" s="10" t="s">
        <v>33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4">
        <v>1.0</v>
      </c>
      <c r="B11" s="13" t="s">
        <v>91</v>
      </c>
      <c r="C11" s="14"/>
      <c r="D11" s="37"/>
      <c r="E11" s="132">
        <v>1000000.0</v>
      </c>
      <c r="F11" s="21"/>
      <c r="G11" s="19"/>
      <c r="H11" s="39"/>
      <c r="I11" s="40"/>
      <c r="J11" s="4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2"/>
      <c r="B12" s="43"/>
      <c r="C12" s="44"/>
      <c r="D12" s="45"/>
      <c r="E12" s="19"/>
      <c r="F12" s="19"/>
      <c r="G12" s="19"/>
      <c r="H12" s="39"/>
      <c r="I12" s="40"/>
      <c r="J12" s="4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7"/>
      <c r="B13" s="48"/>
      <c r="C13" s="29"/>
      <c r="D13" s="49"/>
      <c r="E13" s="49">
        <f>SUM(E11:E12)</f>
        <v>1000000</v>
      </c>
      <c r="F13" s="29"/>
      <c r="G13" s="29"/>
      <c r="H13" s="29"/>
      <c r="I13" s="2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50">
        <f>6+3+6+2+3+5+16+14+4</f>
        <v>59</v>
      </c>
      <c r="X13" s="3"/>
      <c r="Y13" s="3"/>
      <c r="Z13" s="3"/>
      <c r="AA13" s="3"/>
    </row>
    <row r="14">
      <c r="A14" s="51" t="s">
        <v>36</v>
      </c>
      <c r="B14" s="2"/>
      <c r="C14" s="2"/>
      <c r="D14" s="2"/>
      <c r="E14" s="2"/>
      <c r="F14" s="2"/>
      <c r="G14" s="2"/>
      <c r="H14" s="2"/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8" t="s">
        <v>5</v>
      </c>
      <c r="B15" s="7" t="s">
        <v>6</v>
      </c>
      <c r="C15" s="8" t="s">
        <v>7</v>
      </c>
      <c r="D15" s="32" t="s">
        <v>37</v>
      </c>
      <c r="E15" s="10" t="s">
        <v>38</v>
      </c>
      <c r="F15" s="10" t="s">
        <v>39</v>
      </c>
      <c r="G15" s="10" t="s">
        <v>40</v>
      </c>
      <c r="H15" s="29"/>
      <c r="I15" s="49" t="s">
        <v>33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2">
        <v>1.0</v>
      </c>
      <c r="B16" s="13"/>
      <c r="C16" s="14"/>
      <c r="D16" s="125"/>
      <c r="E16" s="54"/>
      <c r="F16" s="54"/>
      <c r="G16" s="43"/>
      <c r="H16" s="19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55">
        <v>2.0</v>
      </c>
      <c r="B17" s="128"/>
      <c r="C17" s="14"/>
      <c r="D17" s="129"/>
      <c r="E17" s="130"/>
      <c r="F17" s="130"/>
      <c r="G17" s="56"/>
      <c r="H17" s="19"/>
      <c r="I17" s="19"/>
      <c r="J17" s="4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55">
        <v>3.0</v>
      </c>
      <c r="B18" s="131"/>
      <c r="C18" s="131"/>
      <c r="D18" s="131"/>
      <c r="E18" s="131"/>
      <c r="F18" s="131"/>
      <c r="G18" s="45"/>
      <c r="H18" s="19"/>
      <c r="I18" s="19"/>
      <c r="J18" s="4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57">
        <v>4.0</v>
      </c>
      <c r="B19" s="43"/>
      <c r="C19" s="44"/>
      <c r="D19" s="58"/>
      <c r="E19" s="43"/>
      <c r="F19" s="43"/>
      <c r="G19" s="43"/>
      <c r="H19" s="19"/>
      <c r="I19" s="19"/>
      <c r="J19" s="4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4"/>
      <c r="B20" s="43"/>
      <c r="C20" s="44"/>
      <c r="D20" s="58"/>
      <c r="E20" s="43"/>
      <c r="F20" s="43"/>
      <c r="G20" s="45"/>
      <c r="H20" s="19"/>
      <c r="I20" s="19"/>
      <c r="J20" s="4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0"/>
      <c r="B21" s="27"/>
      <c r="C21" s="59"/>
      <c r="D21" s="31">
        <f t="shared" ref="D21:F21" si="2">SUM(D16:D20)</f>
        <v>0</v>
      </c>
      <c r="E21" s="31">
        <f t="shared" si="2"/>
        <v>0</v>
      </c>
      <c r="F21" s="60">
        <f t="shared" si="2"/>
        <v>0</v>
      </c>
      <c r="G21" s="61">
        <f>D21+E21+F21</f>
        <v>0</v>
      </c>
      <c r="H21" s="62"/>
      <c r="I21" s="6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51" t="s">
        <v>42</v>
      </c>
      <c r="B22" s="2"/>
      <c r="C22" s="2"/>
      <c r="D22" s="2"/>
      <c r="E22" s="2"/>
      <c r="F22" s="2"/>
      <c r="G22" s="2"/>
      <c r="H22" s="2"/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39" t="s">
        <v>5</v>
      </c>
      <c r="B23" s="140" t="s">
        <v>43</v>
      </c>
      <c r="C23" s="141"/>
      <c r="D23" s="142"/>
      <c r="E23" s="67" t="s">
        <v>45</v>
      </c>
      <c r="F23" s="68" t="s">
        <v>46</v>
      </c>
      <c r="G23" s="67" t="s">
        <v>47</v>
      </c>
      <c r="H23" s="143" t="s">
        <v>12</v>
      </c>
      <c r="I23" s="70" t="s">
        <v>33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2"/>
      <c r="B24" s="72" t="s">
        <v>102</v>
      </c>
      <c r="C24" s="2"/>
      <c r="D24" s="73"/>
      <c r="E24" s="101">
        <v>264000.0</v>
      </c>
      <c r="F24" s="42"/>
      <c r="G24" s="42"/>
      <c r="H24" s="42"/>
      <c r="I24" s="42"/>
      <c r="J24" s="4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144" t="s">
        <v>104</v>
      </c>
      <c r="C25" s="2"/>
      <c r="D25" s="73"/>
      <c r="E25" s="131"/>
      <c r="F25" s="42"/>
      <c r="G25" s="42"/>
      <c r="H25" s="145">
        <v>572000.0</v>
      </c>
      <c r="I25" s="42"/>
      <c r="J25" s="4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2"/>
      <c r="B26" s="144" t="s">
        <v>107</v>
      </c>
      <c r="C26" s="2"/>
      <c r="D26" s="73"/>
      <c r="E26" s="25"/>
      <c r="F26" s="42"/>
      <c r="G26" s="42"/>
      <c r="H26" s="145">
        <v>356000.0</v>
      </c>
      <c r="I26" s="42"/>
      <c r="J26" s="4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2"/>
      <c r="B27" s="146"/>
      <c r="C27" s="2"/>
      <c r="D27" s="73"/>
      <c r="E27" s="25"/>
      <c r="F27" s="42"/>
      <c r="G27" s="42"/>
      <c r="H27" s="42"/>
      <c r="I27" s="42"/>
      <c r="J27" s="4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2"/>
      <c r="B28" s="146"/>
      <c r="C28" s="2"/>
      <c r="D28" s="73"/>
      <c r="E28" s="25"/>
      <c r="F28" s="42"/>
      <c r="G28" s="42"/>
      <c r="H28" s="42"/>
      <c r="I28" s="42"/>
      <c r="J28" s="4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0"/>
      <c r="B29" s="30"/>
      <c r="C29" s="30"/>
      <c r="D29" s="30"/>
      <c r="E29" s="60">
        <f>SUM(E24:E26)</f>
        <v>264000</v>
      </c>
      <c r="F29" s="80"/>
      <c r="G29" s="80"/>
      <c r="H29" s="147">
        <f>SUM(H25:H26)</f>
        <v>928000</v>
      </c>
      <c r="I29" s="6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51" t="s">
        <v>50</v>
      </c>
      <c r="B30" s="2"/>
      <c r="C30" s="2"/>
      <c r="D30" s="2"/>
      <c r="E30" s="2"/>
      <c r="F30" s="2"/>
      <c r="G30" s="2"/>
      <c r="H30" s="2"/>
      <c r="I30" s="5"/>
      <c r="J30" s="8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8" t="s">
        <v>5</v>
      </c>
      <c r="B31" s="82" t="s">
        <v>43</v>
      </c>
      <c r="C31" s="79"/>
      <c r="D31" s="59"/>
      <c r="E31" s="83" t="s">
        <v>51</v>
      </c>
      <c r="F31" s="83" t="s">
        <v>12</v>
      </c>
      <c r="G31" s="10" t="s">
        <v>52</v>
      </c>
      <c r="H31" s="30"/>
      <c r="I31" s="7" t="s">
        <v>53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4"/>
      <c r="B32" s="72" t="s">
        <v>109</v>
      </c>
      <c r="C32" s="2"/>
      <c r="D32" s="73"/>
      <c r="E32" s="101">
        <f>E24+1000000</f>
        <v>1264000</v>
      </c>
      <c r="F32" s="19"/>
      <c r="G32" s="19"/>
      <c r="H32" s="19"/>
      <c r="I32" s="1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4"/>
      <c r="B33" s="104"/>
      <c r="C33" s="2"/>
      <c r="D33" s="73"/>
      <c r="E33" s="105"/>
      <c r="F33" s="19"/>
      <c r="G33" s="19"/>
      <c r="H33" s="19"/>
      <c r="I33" s="1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4"/>
      <c r="B34" s="104"/>
      <c r="C34" s="2"/>
      <c r="D34" s="73"/>
      <c r="E34" s="105"/>
      <c r="F34" s="19"/>
      <c r="G34" s="19"/>
      <c r="H34" s="19"/>
      <c r="I34" s="1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16"/>
      <c r="B35" s="104"/>
      <c r="C35" s="2"/>
      <c r="D35" s="73"/>
      <c r="E35" s="105"/>
      <c r="F35" s="19"/>
      <c r="G35" s="19"/>
      <c r="H35" s="19"/>
      <c r="I35" s="19"/>
      <c r="J35" s="3"/>
      <c r="K35" s="3"/>
      <c r="L35" s="3"/>
      <c r="M35" s="3"/>
      <c r="N35" s="3"/>
      <c r="O35" s="3"/>
      <c r="P35" s="71" t="s">
        <v>105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16"/>
      <c r="B36" s="104"/>
      <c r="C36" s="2"/>
      <c r="D36" s="73"/>
      <c r="E36" s="105"/>
      <c r="F36" s="19"/>
      <c r="G36" s="19"/>
      <c r="H36" s="19"/>
      <c r="I36" s="19"/>
      <c r="J36" s="3"/>
      <c r="K36" s="3"/>
      <c r="L36" s="3"/>
      <c r="M36" s="3"/>
      <c r="N36" s="3"/>
      <c r="O36" s="3"/>
      <c r="P36" s="81">
        <f>G21+E33+E34+E35+E36+'04'!G20</f>
        <v>545000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16"/>
      <c r="B37" s="104"/>
      <c r="C37" s="2"/>
      <c r="D37" s="73"/>
      <c r="E37" s="105"/>
      <c r="F37" s="19"/>
      <c r="G37" s="19"/>
      <c r="H37" s="19"/>
      <c r="I37" s="1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89"/>
      <c r="B38" s="153"/>
      <c r="C38" s="87"/>
      <c r="D38" s="88"/>
      <c r="E38" s="92">
        <f>SUM(E32:E37)</f>
        <v>1264000</v>
      </c>
      <c r="F38" s="93">
        <f>SUM(F32:F33)</f>
        <v>0</v>
      </c>
      <c r="G38" s="94"/>
      <c r="H38" s="94"/>
      <c r="I38" s="9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95" t="s">
        <v>58</v>
      </c>
      <c r="B39" s="99" t="s">
        <v>59</v>
      </c>
      <c r="C39" s="2"/>
      <c r="D39" s="73"/>
      <c r="E39" s="96"/>
      <c r="F39" s="96"/>
      <c r="G39" s="95" t="s">
        <v>10</v>
      </c>
      <c r="H39" s="95" t="s">
        <v>12</v>
      </c>
      <c r="I39" s="95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97" t="s">
        <v>61</v>
      </c>
      <c r="B40" s="102">
        <f>F8</f>
        <v>0</v>
      </c>
      <c r="C40" s="2"/>
      <c r="D40" s="73"/>
      <c r="E40" s="99" t="s">
        <v>62</v>
      </c>
      <c r="F40" s="73"/>
      <c r="G40" s="100">
        <f>C42</f>
        <v>2165000</v>
      </c>
      <c r="H40" s="100"/>
      <c r="I40" s="96" t="str">
        <f>D42</f>
        <v/>
      </c>
      <c r="J40" s="81">
        <f>H8</f>
        <v>3600000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97" t="s">
        <v>63</v>
      </c>
      <c r="B41" s="78"/>
      <c r="C41" s="160">
        <f>E13</f>
        <v>1000000</v>
      </c>
      <c r="E41" s="99" t="s">
        <v>65</v>
      </c>
      <c r="F41" s="73"/>
      <c r="G41" s="102">
        <f>C45-C42</f>
        <v>0</v>
      </c>
      <c r="H41" s="102"/>
      <c r="I41" s="98">
        <f>G8</f>
        <v>0</v>
      </c>
      <c r="J41" s="103">
        <f>I41+H41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97" t="s">
        <v>68</v>
      </c>
      <c r="B42" s="78"/>
      <c r="C42" s="151">
        <f>30000+120000+915000+120000+980000</f>
        <v>2165000</v>
      </c>
      <c r="D42" s="152"/>
      <c r="E42" s="96"/>
      <c r="F42" s="96"/>
      <c r="G42" s="96"/>
      <c r="H42" s="96"/>
      <c r="I42" s="9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97" t="s">
        <v>69</v>
      </c>
      <c r="B43" s="78"/>
      <c r="C43" s="98">
        <f>E29</f>
        <v>264000</v>
      </c>
      <c r="D43" s="96"/>
      <c r="E43" s="107" t="s">
        <v>71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97" t="s">
        <v>72</v>
      </c>
      <c r="B44" s="78"/>
      <c r="C44" s="98">
        <f>E38+G21</f>
        <v>1264000</v>
      </c>
      <c r="D44" s="95">
        <f>F38</f>
        <v>0</v>
      </c>
      <c r="E44" s="110"/>
      <c r="F44" s="81"/>
      <c r="G44" s="81"/>
      <c r="H44" s="3"/>
      <c r="I44" s="111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12" t="s">
        <v>74</v>
      </c>
      <c r="B45" s="73"/>
      <c r="C45" s="113">
        <f>C40+C42+C41+C43-C44</f>
        <v>2165000</v>
      </c>
      <c r="D45" s="96"/>
      <c r="E45" s="114" t="s">
        <v>75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81"/>
      <c r="F46" s="3"/>
      <c r="G46" s="3"/>
      <c r="H46" s="3"/>
      <c r="I46" s="3"/>
      <c r="J46" s="3"/>
      <c r="K46" s="3"/>
      <c r="L46" s="3"/>
      <c r="M46" s="3"/>
      <c r="N46" s="155">
        <v>4235000.0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50" t="s">
        <v>73</v>
      </c>
      <c r="G47" s="3"/>
      <c r="H47" s="3"/>
      <c r="I47" s="3"/>
      <c r="J47" s="157" t="s">
        <v>112</v>
      </c>
      <c r="K47" s="158">
        <v>2564000.0</v>
      </c>
      <c r="L47" s="3"/>
      <c r="M47" s="3"/>
      <c r="N47" s="71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157" t="s">
        <v>114</v>
      </c>
      <c r="K48" s="158">
        <v>3535000.0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162">
        <v>46178.0</v>
      </c>
      <c r="J49" s="157" t="s">
        <v>115</v>
      </c>
      <c r="K49" s="96">
        <f>C45+'05'!C41</f>
        <v>2355000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8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8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</sheetData>
  <mergeCells count="25">
    <mergeCell ref="A1:I1"/>
    <mergeCell ref="A2:I2"/>
    <mergeCell ref="A9:I9"/>
    <mergeCell ref="A14:I14"/>
    <mergeCell ref="A22:I22"/>
    <mergeCell ref="B24:D24"/>
    <mergeCell ref="B25:D25"/>
    <mergeCell ref="B26:D26"/>
    <mergeCell ref="B27:D27"/>
    <mergeCell ref="B28:D28"/>
    <mergeCell ref="A30:I30"/>
    <mergeCell ref="B32:D32"/>
    <mergeCell ref="B33:D33"/>
    <mergeCell ref="B34:D34"/>
    <mergeCell ref="E41:F41"/>
    <mergeCell ref="E43:I43"/>
    <mergeCell ref="A45:B45"/>
    <mergeCell ref="E45:I45"/>
    <mergeCell ref="B35:D35"/>
    <mergeCell ref="B36:D36"/>
    <mergeCell ref="B37:D37"/>
    <mergeCell ref="B38:D38"/>
    <mergeCell ref="B39:D39"/>
    <mergeCell ref="B40:D40"/>
    <mergeCell ref="E40:F4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20.38"/>
    <col customWidth="1" min="9" max="9" width="19.0"/>
  </cols>
  <sheetData>
    <row r="1">
      <c r="A1" s="1" t="s">
        <v>93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4</v>
      </c>
      <c r="B2" s="2"/>
      <c r="C2" s="2"/>
      <c r="D2" s="2"/>
      <c r="E2" s="2"/>
      <c r="F2" s="2"/>
      <c r="G2" s="2"/>
      <c r="H2" s="2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5</v>
      </c>
      <c r="B3" s="7" t="s">
        <v>6</v>
      </c>
      <c r="C3" s="8" t="s">
        <v>7</v>
      </c>
      <c r="D3" s="9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33" t="s">
        <v>13</v>
      </c>
      <c r="J3" s="11" t="s">
        <v>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2">
        <v>1.0</v>
      </c>
      <c r="B4" s="13" t="s">
        <v>94</v>
      </c>
      <c r="C4" s="14" t="s">
        <v>95</v>
      </c>
      <c r="D4" s="123"/>
      <c r="E4" s="119"/>
      <c r="F4" s="134">
        <v>800000.0</v>
      </c>
      <c r="G4" s="135">
        <v>1.45E7</v>
      </c>
      <c r="H4" s="121"/>
      <c r="I4" s="13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2">
        <v>2.0</v>
      </c>
      <c r="B5" s="13" t="s">
        <v>96</v>
      </c>
      <c r="C5" s="14" t="s">
        <v>98</v>
      </c>
      <c r="D5" s="137">
        <v>1.779E7</v>
      </c>
      <c r="E5" s="22"/>
      <c r="F5" s="20"/>
      <c r="H5" s="138">
        <v>1000000.0</v>
      </c>
      <c r="I5" s="13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2">
        <v>3.0</v>
      </c>
      <c r="B6" s="13" t="s">
        <v>99</v>
      </c>
      <c r="C6" s="14" t="s">
        <v>90</v>
      </c>
      <c r="D6" s="124"/>
      <c r="E6" s="20"/>
      <c r="F6" s="19"/>
      <c r="G6" s="137">
        <v>2.205E7</v>
      </c>
      <c r="H6" s="138">
        <v>1000000.0</v>
      </c>
      <c r="I6" s="13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26">
        <v>4.0</v>
      </c>
      <c r="B7" s="127"/>
      <c r="C7" s="14"/>
      <c r="E7" s="122"/>
      <c r="F7" s="19"/>
      <c r="G7" s="121"/>
      <c r="H7" s="122"/>
      <c r="I7" s="1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27"/>
      <c r="B8" s="29"/>
      <c r="C8" s="30"/>
      <c r="D8" s="30"/>
      <c r="E8" s="30"/>
      <c r="F8" s="31">
        <f t="shared" ref="F8:G8" si="1">SUM(F4:F6)</f>
        <v>800000</v>
      </c>
      <c r="G8" s="31">
        <f t="shared" si="1"/>
        <v>36550000</v>
      </c>
      <c r="H8" s="31">
        <f>SUM(H4:H7)</f>
        <v>2000000</v>
      </c>
      <c r="I8" s="31">
        <f>F8+G8</f>
        <v>37350000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29</v>
      </c>
      <c r="B9" s="2"/>
      <c r="C9" s="2"/>
      <c r="D9" s="2"/>
      <c r="E9" s="2"/>
      <c r="F9" s="2"/>
      <c r="G9" s="2"/>
      <c r="H9" s="2"/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8" t="s">
        <v>5</v>
      </c>
      <c r="B10" s="7" t="s">
        <v>6</v>
      </c>
      <c r="C10" s="8" t="s">
        <v>7</v>
      </c>
      <c r="D10" s="32" t="s">
        <v>30</v>
      </c>
      <c r="E10" s="10" t="s">
        <v>10</v>
      </c>
      <c r="F10" s="33" t="s">
        <v>31</v>
      </c>
      <c r="G10" s="10" t="s">
        <v>32</v>
      </c>
      <c r="H10" s="29"/>
      <c r="I10" s="10" t="s">
        <v>33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4">
        <v>1.0</v>
      </c>
      <c r="B11" s="13"/>
      <c r="C11" s="14"/>
      <c r="D11" s="37"/>
      <c r="E11" s="132"/>
      <c r="F11" s="21"/>
      <c r="G11" s="19"/>
      <c r="H11" s="39"/>
      <c r="I11" s="40"/>
      <c r="J11" s="4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2"/>
      <c r="B12" s="43"/>
      <c r="C12" s="44"/>
      <c r="D12" s="45"/>
      <c r="E12" s="19"/>
      <c r="F12" s="19"/>
      <c r="G12" s="19"/>
      <c r="H12" s="39"/>
      <c r="I12" s="40"/>
      <c r="J12" s="4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7"/>
      <c r="B13" s="48"/>
      <c r="C13" s="29"/>
      <c r="D13" s="49"/>
      <c r="E13" s="49">
        <f>SUM(E11:E12)</f>
        <v>0</v>
      </c>
      <c r="F13" s="29"/>
      <c r="G13" s="29"/>
      <c r="H13" s="29"/>
      <c r="I13" s="2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50">
        <f>6+3+6+2+3+5+16+14+4</f>
        <v>59</v>
      </c>
      <c r="X13" s="3"/>
      <c r="Y13" s="3"/>
      <c r="Z13" s="3"/>
      <c r="AA13" s="3"/>
    </row>
    <row r="14">
      <c r="A14" s="51" t="s">
        <v>36</v>
      </c>
      <c r="B14" s="2"/>
      <c r="C14" s="2"/>
      <c r="D14" s="2"/>
      <c r="E14" s="2"/>
      <c r="F14" s="2"/>
      <c r="G14" s="2"/>
      <c r="H14" s="2"/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8" t="s">
        <v>5</v>
      </c>
      <c r="B15" s="7" t="s">
        <v>6</v>
      </c>
      <c r="C15" s="8" t="s">
        <v>7</v>
      </c>
      <c r="D15" s="32" t="s">
        <v>37</v>
      </c>
      <c r="E15" s="10" t="s">
        <v>38</v>
      </c>
      <c r="F15" s="10" t="s">
        <v>39</v>
      </c>
      <c r="G15" s="10" t="s">
        <v>40</v>
      </c>
      <c r="H15" s="29"/>
      <c r="I15" s="49" t="s">
        <v>33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2">
        <v>1.0</v>
      </c>
      <c r="B16" s="13" t="s">
        <v>94</v>
      </c>
      <c r="C16" s="14" t="s">
        <v>95</v>
      </c>
      <c r="D16" s="148">
        <v>378000.0</v>
      </c>
      <c r="E16" s="150">
        <v>100000.0</v>
      </c>
      <c r="F16" s="150">
        <v>105000.0</v>
      </c>
      <c r="G16" s="43"/>
      <c r="H16" s="19"/>
      <c r="I16" s="20" t="s">
        <v>110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55">
        <v>2.0</v>
      </c>
      <c r="B17" s="128"/>
      <c r="C17" s="14"/>
      <c r="D17" s="129"/>
      <c r="E17" s="130"/>
      <c r="F17" s="130"/>
      <c r="G17" s="56"/>
      <c r="H17" s="19"/>
      <c r="I17" s="19"/>
      <c r="J17" s="4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55">
        <v>3.0</v>
      </c>
      <c r="B18" s="131"/>
      <c r="C18" s="131"/>
      <c r="D18" s="131"/>
      <c r="E18" s="131"/>
      <c r="F18" s="131"/>
      <c r="G18" s="45"/>
      <c r="H18" s="19"/>
      <c r="I18" s="19"/>
      <c r="J18" s="4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57">
        <v>4.0</v>
      </c>
      <c r="B19" s="43"/>
      <c r="C19" s="44"/>
      <c r="D19" s="58"/>
      <c r="E19" s="43"/>
      <c r="F19" s="43"/>
      <c r="G19" s="43"/>
      <c r="H19" s="19"/>
      <c r="I19" s="19"/>
      <c r="J19" s="4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4"/>
      <c r="B20" s="43"/>
      <c r="C20" s="44"/>
      <c r="D20" s="58"/>
      <c r="E20" s="43"/>
      <c r="F20" s="43"/>
      <c r="G20" s="45"/>
      <c r="H20" s="19"/>
      <c r="I20" s="19"/>
      <c r="J20" s="4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0"/>
      <c r="B21" s="27"/>
      <c r="C21" s="59"/>
      <c r="D21" s="31">
        <f t="shared" ref="D21:F21" si="2">SUM(D16:D20)</f>
        <v>378000</v>
      </c>
      <c r="E21" s="31">
        <f t="shared" si="2"/>
        <v>100000</v>
      </c>
      <c r="F21" s="60">
        <f t="shared" si="2"/>
        <v>105000</v>
      </c>
      <c r="G21" s="154">
        <f>D21+E21+F21</f>
        <v>583000</v>
      </c>
      <c r="H21" s="62"/>
      <c r="I21" s="6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51" t="s">
        <v>42</v>
      </c>
      <c r="B22" s="2"/>
      <c r="C22" s="2"/>
      <c r="D22" s="2"/>
      <c r="E22" s="2"/>
      <c r="F22" s="2"/>
      <c r="G22" s="2"/>
      <c r="H22" s="2"/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39" t="s">
        <v>5</v>
      </c>
      <c r="B23" s="140" t="s">
        <v>43</v>
      </c>
      <c r="C23" s="141"/>
      <c r="D23" s="142"/>
      <c r="E23" s="67" t="s">
        <v>45</v>
      </c>
      <c r="F23" s="68" t="s">
        <v>46</v>
      </c>
      <c r="G23" s="67" t="s">
        <v>47</v>
      </c>
      <c r="H23" s="143" t="s">
        <v>12</v>
      </c>
      <c r="I23" s="70" t="s">
        <v>33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2"/>
      <c r="B24" s="72" t="s">
        <v>111</v>
      </c>
      <c r="C24" s="2"/>
      <c r="D24" s="73"/>
      <c r="E24" s="156">
        <v>1264000.0</v>
      </c>
      <c r="F24" s="42"/>
      <c r="G24" s="157" t="s">
        <v>110</v>
      </c>
      <c r="H24" s="42"/>
      <c r="I24" s="42"/>
      <c r="J24" s="4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159" t="s">
        <v>113</v>
      </c>
      <c r="C25" s="2"/>
      <c r="D25" s="73"/>
      <c r="E25" s="131"/>
      <c r="F25" s="42"/>
      <c r="G25" s="42"/>
      <c r="H25" s="161">
        <v>356000.0</v>
      </c>
      <c r="I25" s="42"/>
      <c r="J25" s="4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2"/>
      <c r="B26" s="144"/>
      <c r="C26" s="2"/>
      <c r="D26" s="73"/>
      <c r="E26" s="25"/>
      <c r="F26" s="42"/>
      <c r="G26" s="42"/>
      <c r="H26" s="145"/>
      <c r="I26" s="42"/>
      <c r="J26" s="4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2"/>
      <c r="B27" s="146"/>
      <c r="C27" s="2"/>
      <c r="D27" s="73"/>
      <c r="E27" s="25"/>
      <c r="F27" s="42"/>
      <c r="G27" s="42"/>
      <c r="H27" s="42"/>
      <c r="I27" s="42"/>
      <c r="J27" s="4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2"/>
      <c r="B28" s="146"/>
      <c r="C28" s="2"/>
      <c r="D28" s="73"/>
      <c r="E28" s="25"/>
      <c r="F28" s="42"/>
      <c r="G28" s="42"/>
      <c r="H28" s="42"/>
      <c r="I28" s="42"/>
      <c r="J28" s="4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0"/>
      <c r="B29" s="30"/>
      <c r="C29" s="30"/>
      <c r="D29" s="30"/>
      <c r="E29" s="60">
        <f>SUM(E24:E26)</f>
        <v>1264000</v>
      </c>
      <c r="F29" s="80"/>
      <c r="G29" s="80"/>
      <c r="H29" s="147">
        <f>SUM(H25:H26)</f>
        <v>356000</v>
      </c>
      <c r="I29" s="6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51" t="s">
        <v>50</v>
      </c>
      <c r="B30" s="2"/>
      <c r="C30" s="2"/>
      <c r="D30" s="2"/>
      <c r="E30" s="2"/>
      <c r="F30" s="2"/>
      <c r="G30" s="2"/>
      <c r="H30" s="2"/>
      <c r="I30" s="5"/>
      <c r="J30" s="8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8" t="s">
        <v>5</v>
      </c>
      <c r="B31" s="82" t="s">
        <v>43</v>
      </c>
      <c r="C31" s="79"/>
      <c r="D31" s="59"/>
      <c r="E31" s="83" t="s">
        <v>51</v>
      </c>
      <c r="F31" s="83" t="s">
        <v>12</v>
      </c>
      <c r="G31" s="10" t="s">
        <v>52</v>
      </c>
      <c r="H31" s="30"/>
      <c r="I31" s="7" t="s">
        <v>53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4"/>
      <c r="B32" s="72" t="s">
        <v>116</v>
      </c>
      <c r="C32" s="2"/>
      <c r="D32" s="73"/>
      <c r="E32" s="101">
        <f>1264000-77000</f>
        <v>1187000</v>
      </c>
      <c r="F32" s="19"/>
      <c r="G32" s="20" t="s">
        <v>110</v>
      </c>
      <c r="H32" s="20" t="s">
        <v>117</v>
      </c>
      <c r="I32" s="1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4"/>
      <c r="B33" s="104" t="s">
        <v>118</v>
      </c>
      <c r="C33" s="2"/>
      <c r="D33" s="73"/>
      <c r="E33" s="105">
        <v>20000.0</v>
      </c>
      <c r="F33" s="19"/>
      <c r="G33" s="20" t="s">
        <v>110</v>
      </c>
      <c r="H33" s="20" t="s">
        <v>117</v>
      </c>
      <c r="I33" s="1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4"/>
      <c r="B34" s="163" t="s">
        <v>119</v>
      </c>
      <c r="C34" s="2"/>
      <c r="D34" s="73"/>
      <c r="E34" s="105">
        <v>12000.0</v>
      </c>
      <c r="F34" s="19"/>
      <c r="G34" s="19"/>
      <c r="H34" s="20" t="s">
        <v>117</v>
      </c>
      <c r="I34" s="1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16"/>
      <c r="B35" s="163" t="s">
        <v>120</v>
      </c>
      <c r="C35" s="2"/>
      <c r="D35" s="73"/>
      <c r="E35" s="105">
        <v>30000.0</v>
      </c>
      <c r="F35" s="19"/>
      <c r="G35" s="19"/>
      <c r="H35" s="20" t="s">
        <v>117</v>
      </c>
      <c r="I35" s="19"/>
      <c r="J35" s="3"/>
      <c r="K35" s="3"/>
      <c r="L35" s="3"/>
      <c r="M35" s="3"/>
      <c r="N35" s="3"/>
      <c r="O35" s="3"/>
      <c r="P35" s="71" t="s">
        <v>105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16"/>
      <c r="B36" s="163" t="s">
        <v>121</v>
      </c>
      <c r="C36" s="2"/>
      <c r="D36" s="73"/>
      <c r="E36" s="105">
        <v>15000.0</v>
      </c>
      <c r="F36" s="19"/>
      <c r="G36" s="19"/>
      <c r="H36" s="20" t="s">
        <v>117</v>
      </c>
      <c r="I36" s="19"/>
      <c r="J36" s="3"/>
      <c r="K36" s="3"/>
      <c r="L36" s="3"/>
      <c r="M36" s="3"/>
      <c r="N36" s="3"/>
      <c r="O36" s="3"/>
      <c r="P36" s="81">
        <f>G21+E33+E34+E35+E36+'04'!G20</f>
        <v>1205000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16"/>
      <c r="B37" s="104"/>
      <c r="C37" s="2"/>
      <c r="D37" s="73"/>
      <c r="E37" s="105"/>
      <c r="F37" s="20"/>
      <c r="G37" s="19"/>
      <c r="H37" s="19"/>
      <c r="I37" s="1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89"/>
      <c r="B38" s="153"/>
      <c r="C38" s="87"/>
      <c r="D38" s="88"/>
      <c r="E38" s="92">
        <f>SUM(E32:E37)</f>
        <v>1264000</v>
      </c>
      <c r="F38" s="93">
        <f>SUM(F32:F33)</f>
        <v>0</v>
      </c>
      <c r="G38" s="94"/>
      <c r="H38" s="94"/>
      <c r="I38" s="9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95" t="s">
        <v>58</v>
      </c>
      <c r="B39" s="95"/>
      <c r="C39" s="164" t="s">
        <v>59</v>
      </c>
      <c r="D39" s="165" t="s">
        <v>122</v>
      </c>
      <c r="E39" s="96"/>
      <c r="F39" s="96"/>
      <c r="G39" s="95" t="s">
        <v>10</v>
      </c>
      <c r="H39" s="95" t="s">
        <v>12</v>
      </c>
      <c r="I39" s="95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97" t="s">
        <v>61</v>
      </c>
      <c r="B40" s="102"/>
      <c r="C40" s="98">
        <f>F8</f>
        <v>800000</v>
      </c>
      <c r="D40" s="166"/>
      <c r="E40" s="99" t="s">
        <v>62</v>
      </c>
      <c r="F40" s="73"/>
      <c r="G40" s="100">
        <f>C42</f>
        <v>1260000</v>
      </c>
      <c r="H40" s="100"/>
      <c r="I40" s="96">
        <f>D42</f>
        <v>586630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97" t="s">
        <v>63</v>
      </c>
      <c r="B41" s="78"/>
      <c r="C41" s="160">
        <f>E13</f>
        <v>0</v>
      </c>
      <c r="D41" s="131"/>
      <c r="E41" s="99" t="s">
        <v>65</v>
      </c>
      <c r="F41" s="73"/>
      <c r="G41" s="102">
        <f>C45-G40</f>
        <v>217000</v>
      </c>
      <c r="H41" s="167">
        <f>H8</f>
        <v>2000000</v>
      </c>
      <c r="I41" s="98">
        <f>G8</f>
        <v>36550000</v>
      </c>
      <c r="J41" s="103">
        <f>I41+H41</f>
        <v>38550000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97" t="s">
        <v>68</v>
      </c>
      <c r="B42" s="78"/>
      <c r="C42" s="151">
        <f>750000+120000+120000+70000+200000</f>
        <v>1260000</v>
      </c>
      <c r="D42" s="152">
        <v>586630.0</v>
      </c>
      <c r="E42" s="96"/>
      <c r="F42" s="96"/>
      <c r="G42" s="96"/>
      <c r="H42" s="96"/>
      <c r="I42" s="9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97" t="s">
        <v>69</v>
      </c>
      <c r="B43" s="78"/>
      <c r="C43" s="98">
        <f>E29</f>
        <v>1264000</v>
      </c>
      <c r="D43" s="96"/>
      <c r="E43" s="107" t="s">
        <v>71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97" t="s">
        <v>72</v>
      </c>
      <c r="B44" s="78"/>
      <c r="C44" s="98">
        <f>E38+G21</f>
        <v>1847000</v>
      </c>
      <c r="D44" s="95">
        <f>F38</f>
        <v>0</v>
      </c>
      <c r="E44" s="110"/>
      <c r="F44" s="81"/>
      <c r="G44" s="81"/>
      <c r="H44" s="3"/>
      <c r="I44" s="111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12" t="s">
        <v>74</v>
      </c>
      <c r="B45" s="73"/>
      <c r="C45" s="113">
        <f>C40+C42+C41+C43-C44</f>
        <v>1477000</v>
      </c>
      <c r="D45" s="96"/>
      <c r="E45" s="114" t="s">
        <v>75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81"/>
      <c r="F46" s="3"/>
      <c r="G46" s="3"/>
      <c r="H46" s="3"/>
      <c r="I46" s="3"/>
      <c r="J46" s="3"/>
      <c r="K46" s="3"/>
      <c r="L46" s="3"/>
      <c r="M46" s="3"/>
      <c r="N46" s="155">
        <v>4235000.0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50" t="s">
        <v>73</v>
      </c>
      <c r="G47" s="3"/>
      <c r="H47" s="3"/>
      <c r="I47" s="3"/>
      <c r="J47" s="157" t="s">
        <v>112</v>
      </c>
      <c r="K47" s="158">
        <v>2564000.0</v>
      </c>
      <c r="L47" s="3"/>
      <c r="M47" s="3"/>
      <c r="N47" s="71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157" t="s">
        <v>114</v>
      </c>
      <c r="K48" s="158">
        <v>3535000.0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162">
        <v>46178.0</v>
      </c>
      <c r="J49" s="157" t="s">
        <v>115</v>
      </c>
      <c r="K49" s="96">
        <f>C45+'05'!C4</f>
        <v>1477000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8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81">
        <f>C42-1181000</f>
        <v>79000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8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</sheetData>
  <mergeCells count="23">
    <mergeCell ref="A1:I1"/>
    <mergeCell ref="A2:I2"/>
    <mergeCell ref="A9:I9"/>
    <mergeCell ref="A14:I14"/>
    <mergeCell ref="A22:I22"/>
    <mergeCell ref="B24:D24"/>
    <mergeCell ref="B25:D25"/>
    <mergeCell ref="B26:D26"/>
    <mergeCell ref="B27:D27"/>
    <mergeCell ref="B28:D28"/>
    <mergeCell ref="A30:I30"/>
    <mergeCell ref="B32:D32"/>
    <mergeCell ref="B33:D33"/>
    <mergeCell ref="B34:D34"/>
    <mergeCell ref="A45:B45"/>
    <mergeCell ref="E45:I45"/>
    <mergeCell ref="B35:D35"/>
    <mergeCell ref="B36:D36"/>
    <mergeCell ref="B37:D37"/>
    <mergeCell ref="B38:D38"/>
    <mergeCell ref="E40:F40"/>
    <mergeCell ref="E41:F41"/>
    <mergeCell ref="E43:I43"/>
  </mergeCells>
  <drawing r:id="rId1"/>
</worksheet>
</file>